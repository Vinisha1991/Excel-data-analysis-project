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D:\Users\Manju\Desktop\SCUBE DATA ANALYSIS\"/>
    </mc:Choice>
  </mc:AlternateContent>
  <xr:revisionPtr revIDLastSave="0" documentId="8_{F882EC05-4D2E-421E-B93A-DFA8D582302E}" xr6:coauthVersionLast="47" xr6:coauthVersionMax="47" xr10:uidLastSave="{00000000-0000-0000-0000-000000000000}"/>
  <bookViews>
    <workbookView xWindow="-108" yWindow="-108" windowWidth="23256" windowHeight="12576" activeTab="3" xr2:uid="{00000000-000D-0000-FFFF-FFFF00000000}"/>
  </bookViews>
  <sheets>
    <sheet name="Sales_Data" sheetId="1" r:id="rId1"/>
    <sheet name="pivot table" sheetId="4" r:id="rId2"/>
    <sheet name="Sales Dashboard" sheetId="2" r:id="rId3"/>
    <sheet name="backup data" sheetId="3" r:id="rId4"/>
  </sheets>
  <definedNames>
    <definedName name="Slicer_Customer_Name">#N/A</definedName>
    <definedName name="Slicer_Payment_Mod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E14" i="4" l="1"/>
  <c r="L21" i="2"/>
  <c r="M21" i="2"/>
  <c r="N21" i="2"/>
  <c r="L20" i="2"/>
  <c r="M20" i="2"/>
  <c r="N20" i="2"/>
  <c r="L17" i="2"/>
  <c r="M17" i="2"/>
  <c r="N17" i="2"/>
  <c r="L18" i="2"/>
  <c r="M18" i="2"/>
  <c r="N18" i="2"/>
  <c r="L19" i="2"/>
  <c r="M19" i="2"/>
  <c r="N19" i="2"/>
  <c r="M16" i="2"/>
  <c r="N16" i="2"/>
  <c r="L16" i="2"/>
  <c r="D17" i="2"/>
  <c r="E17" i="2"/>
  <c r="F17" i="2"/>
  <c r="D18" i="2"/>
  <c r="E18" i="2"/>
  <c r="F18" i="2"/>
  <c r="D19" i="2"/>
  <c r="E19" i="2"/>
  <c r="F19" i="2"/>
  <c r="D20" i="2"/>
  <c r="E20" i="2"/>
  <c r="F20" i="2"/>
  <c r="E16" i="2"/>
  <c r="F16" i="2"/>
  <c r="D16" i="2"/>
</calcChain>
</file>

<file path=xl/sharedStrings.xml><?xml version="1.0" encoding="utf-8"?>
<sst xmlns="http://schemas.openxmlformats.org/spreadsheetml/2006/main" count="1268" uniqueCount="154">
  <si>
    <t>Order_ID</t>
  </si>
  <si>
    <t>Order_Date</t>
  </si>
  <si>
    <t>Customer_Name</t>
  </si>
  <si>
    <t>Region</t>
  </si>
  <si>
    <t>Product</t>
  </si>
  <si>
    <t>Category</t>
  </si>
  <si>
    <t>Quantity</t>
  </si>
  <si>
    <t>Unit_Price</t>
  </si>
  <si>
    <t>Total_Sales</t>
  </si>
  <si>
    <t>Payment_Mode</t>
  </si>
  <si>
    <t>ORD0001</t>
  </si>
  <si>
    <t>Pooja</t>
  </si>
  <si>
    <t>South</t>
  </si>
  <si>
    <t>Laptop</t>
  </si>
  <si>
    <t>Electronics</t>
  </si>
  <si>
    <t>UPI</t>
  </si>
  <si>
    <t>ORD0002</t>
  </si>
  <si>
    <t>East</t>
  </si>
  <si>
    <t>Accessories</t>
  </si>
  <si>
    <t>Cash</t>
  </si>
  <si>
    <t>ORD0003</t>
  </si>
  <si>
    <t>Diya</t>
  </si>
  <si>
    <t>Mobile</t>
  </si>
  <si>
    <t>ORD0004</t>
  </si>
  <si>
    <t>Meera</t>
  </si>
  <si>
    <t>North</t>
  </si>
  <si>
    <t>ORD0005</t>
  </si>
  <si>
    <t>Tablet</t>
  </si>
  <si>
    <t>Debit Card</t>
  </si>
  <si>
    <t>ORD0006</t>
  </si>
  <si>
    <t>Smartwatch</t>
  </si>
  <si>
    <t>Credit Card</t>
  </si>
  <si>
    <t>ORD0007</t>
  </si>
  <si>
    <t>ORD0008</t>
  </si>
  <si>
    <t>ORD0009</t>
  </si>
  <si>
    <t>ORD0010</t>
  </si>
  <si>
    <t>West</t>
  </si>
  <si>
    <t>ORD0011</t>
  </si>
  <si>
    <t>ORD0012</t>
  </si>
  <si>
    <t>Kiran</t>
  </si>
  <si>
    <t>ORD0013</t>
  </si>
  <si>
    <t>Aarav</t>
  </si>
  <si>
    <t>ORD0014</t>
  </si>
  <si>
    <t>Headphones</t>
  </si>
  <si>
    <t>ORD0015</t>
  </si>
  <si>
    <t>ORD0016</t>
  </si>
  <si>
    <t>ORD0017</t>
  </si>
  <si>
    <t>ORD0018</t>
  </si>
  <si>
    <t>Rohan</t>
  </si>
  <si>
    <t>ORD0019</t>
  </si>
  <si>
    <t>Ananya</t>
  </si>
  <si>
    <t>ORD0020</t>
  </si>
  <si>
    <t>ORD0021</t>
  </si>
  <si>
    <t>ORD0022</t>
  </si>
  <si>
    <t>ORD0023</t>
  </si>
  <si>
    <t>ORD0024</t>
  </si>
  <si>
    <t>ORD0025</t>
  </si>
  <si>
    <t>ORD0026</t>
  </si>
  <si>
    <t>ORD0027</t>
  </si>
  <si>
    <t>ORD0028</t>
  </si>
  <si>
    <t>ORD0029</t>
  </si>
  <si>
    <t>Vikram</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</si>
  <si>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</si>
  <si>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</si>
  <si>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</si>
  <si>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</si>
  <si>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</si>
  <si>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</si>
  <si>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</si>
  <si>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</si>
  <si>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</si>
  <si>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</si>
  <si>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</si>
  <si>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</si>
  <si>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</si>
  <si>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</si>
  <si>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</si>
  <si>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</si>
  <si>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</si>
  <si>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</si>
  <si>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</si>
  <si>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</si>
  <si>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</si>
  <si>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</si>
  <si>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</si>
  <si>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</si>
  <si>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</si>
  <si>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</si>
  <si>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</si>
  <si>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</si>
  <si>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</si>
  <si>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</si>
  <si>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</si>
  <si>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</si>
  <si>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</si>
  <si>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</si>
  <si>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</si>
  <si>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</si>
  <si>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</si>
  <si>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</si>
  <si>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</si>
  <si>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</si>
  <si>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</si>
  <si>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</si>
  <si>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</si>
  <si>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</si>
  <si>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</si>
  <si>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</si>
  <si>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</si>
  <si>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</si>
  <si>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</si>
  <si>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</si>
  <si>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</si>
  <si>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</si>
  <si>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</si>
  <si>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</si>
  <si>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</si>
  <si>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</si>
  <si>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</si>
  <si>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</si>
  <si>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</si>
  <si>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</si>
  <si>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</si>
  <si>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</si>
  <si>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</si>
  <si>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</si>
  <si>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</si>
  <si>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</si>
  <si>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</si>
  <si>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</si>
  <si>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</si>
  <si>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</si>
  <si>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</si>
  <si>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Grand Total</t>
  </si>
  <si>
    <t>Sum of Total_Sales</t>
  </si>
  <si>
    <t>Total_Sales sum</t>
  </si>
  <si>
    <t>Sales by region</t>
  </si>
  <si>
    <t>Sum of Quantity</t>
  </si>
  <si>
    <t>(All)</t>
  </si>
  <si>
    <t xml:space="preserve"> Total_Sales by product</t>
  </si>
  <si>
    <t>customer</t>
  </si>
  <si>
    <t>Jan</t>
  </si>
  <si>
    <t>Feb</t>
  </si>
  <si>
    <t>Mar</t>
  </si>
  <si>
    <t>Apr</t>
  </si>
  <si>
    <t>May</t>
  </si>
  <si>
    <t>Jun</t>
  </si>
  <si>
    <t>month</t>
  </si>
  <si>
    <t>Monthly sales</t>
  </si>
  <si>
    <t>Sales by Product</t>
  </si>
  <si>
    <t>Total sales</t>
  </si>
  <si>
    <t xml:space="preserve"> Quantity sold</t>
  </si>
  <si>
    <t>max product sold</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</si>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</sst>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 #,##0.00_ ;_ * \-#,##0.00_ ;_ * &quot;-&quot;??_ ;_ @_ "/>
    <numFmt numFmtId="164" formatCode="yyyy\-mm\-dd"/>
    <numFmt numFmtId="165" formatCode="_ * #,##0_ ;_ * \-#,##0_ ;_ * &quot;-&quot;??_ ;_ @_ "/>
  </numFmts>
  <fonts count="5" x14ac:knownFonts="1">
    <font>
      <sz val="11"/>
      <color theme="1"/>
      <name val="Calibri"/>
      <family val="2"/>
      <scheme val="minor"/>
    </font>
    <font>
      <sz val="11"/>
      <color theme="1"/>
      <name val="Calibri"/>
      <family val="2"/>
      <scheme val="minor"/>
    </font>
    <font>
      <b/>
      <sz val="11"/>
      <color theme="1"/>
      <name val="Calibri"/>
      <family val="2"/>
      <scheme val="minor"/>
    </font>
    <font>
      <sz val="11"/>
      <color rgb="FFFFFFFF"/>
      <name val="Calibri"/>
      <family val="2"/>
      <scheme val="minor"/>
    </font>
    <font>
      <sz val="28"/>
      <color theme="1"/>
      <name val="Calibri"/>
      <family val="2"/>
      <scheme val="minor"/>
    </font>
  </fonts>
  <fills count="8">
    <fill>
      <patternFill patternType="none"/>
    </fill>
    <fill>
      <patternFill patternType="gray125"/>
    </fill>
    <fill>
      <patternFill patternType="solid">
        <fgColor theme="4" tint="0.79998168889431442"/>
        <bgColor theme="4" tint="0.79998168889431442"/>
      </patternFill>
    </fill>
    <fill>
      <patternFill patternType="solid">
        <fgColor rgb="FF3366FF"/>
        <bgColor indexed="64"/>
      </patternFill>
    </fill>
    <fill>
      <patternFill patternType="solid">
        <fgColor rgb="FFE0E789"/>
        <bgColor theme="4" tint="0.79998168889431442"/>
      </patternFill>
    </fill>
    <fill>
      <patternFill patternType="solid">
        <fgColor rgb="FF00B0F0"/>
        <bgColor indexed="64"/>
      </patternFill>
    </fill>
    <fill>
      <patternFill patternType="solid">
        <fgColor rgb="FF92D050"/>
        <bgColor indexed="64"/>
      </patternFill>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17">
    <xf numFmtId="0" fontId="0" fillId="0" borderId="0" xfId="0"/>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3" borderId="0" xfId="0" applyFill="1"/>
    <xf numFmtId="0" fontId="2" fillId="2" borderId="1" xfId="0" applyFont="1" applyFill="1" applyBorder="1"/>
    <xf numFmtId="0" fontId="2" fillId="4" borderId="1" xfId="0" applyFont="1" applyFill="1" applyBorder="1"/>
    <xf numFmtId="165" fontId="2" fillId="2" borderId="1" xfId="1" applyNumberFormat="1" applyFont="1" applyFill="1" applyBorder="1"/>
    <xf numFmtId="165" fontId="2" fillId="4" borderId="1" xfId="1" applyNumberFormat="1" applyFont="1" applyFill="1" applyBorder="1"/>
    <xf numFmtId="165" fontId="2" fillId="2" borderId="1" xfId="0" applyNumberFormat="1" applyFont="1" applyFill="1" applyBorder="1"/>
    <xf numFmtId="165" fontId="2" fillId="4" borderId="1" xfId="0" applyNumberFormat="1" applyFont="1" applyFill="1" applyBorder="1"/>
    <xf numFmtId="0" fontId="3" fillId="5" borderId="0" xfId="0" applyFont="1" applyFill="1"/>
    <xf numFmtId="0" fontId="0" fillId="6" borderId="0" xfId="0" applyFill="1"/>
    <xf numFmtId="0" fontId="0" fillId="7" borderId="0" xfId="0" applyFill="1" applyAlignment="1">
      <alignment horizontal="centerContinuous"/>
    </xf>
    <xf numFmtId="0" fontId="4" fillId="7" borderId="0" xfId="0" applyFont="1" applyFill="1" applyAlignment="1">
      <alignment horizontal="center"/>
    </xf>
    <xf numFmtId="0" fontId="0" fillId="7" borderId="0" xfId="0" applyFill="1"/>
  </cellXfs>
  <cellStyles count="2">
    <cellStyle name="Comma" xfId="1" builtinId="3"/>
    <cellStyle name="Normal" xfId="0" builtinId="0"/>
  </cellStyles>
  <dxfs count="5">
    <dxf>
      <numFmt numFmtId="164" formatCode="yyyy\-mm\-dd"/>
    </dxf>
    <dxf>
      <numFmt numFmtId="164" formatCode="yyyy\-mm\-dd"/>
    </dxf>
    <dxf>
      <numFmt numFmtId="165" formatCode="_ * #,##0_ ;_ * \-#,##0_ ;_ * &quot;-&quot;??_ ;_ @_ "/>
    </dxf>
    <dxf>
      <numFmt numFmtId="165" formatCode="_ * #,##0_ ;_ * \-#,##0_ ;_ * &quot;-&quot;??_ ;_ @_ "/>
    </dxf>
    <dxf>
      <numFmt numFmtId="165" formatCode="_ * #,##0_ ;_ * \-#,##0_ ;_ * &quot;-&quot;??_ ;_ @_ "/>
    </dxf>
  </dxfs>
  <tableStyles count="1" defaultTableStyle="TableStyleMedium9" defaultPivotStyle="PivotStyleLight16">
    <tableStyle name="Invisible" pivot="0" table="0" count="0" xr9:uid="{D7978B47-85CE-4C26-91C4-51B6E4FA8F11}"/>
  </tableStyles>
  <colors>
    <mruColors>
      <color rgb="FFFFFFFF"/>
      <color rgb="FFE0E789"/>
      <color rgb="FF33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project 1.xlsx]pivot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table'!$J$2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table'!$I$3:$I$9</c:f>
              <c:strCache>
                <c:ptCount val="6"/>
                <c:pt idx="0">
                  <c:v>Jan</c:v>
                </c:pt>
                <c:pt idx="1">
                  <c:v>Feb</c:v>
                </c:pt>
                <c:pt idx="2">
                  <c:v>Mar</c:v>
                </c:pt>
                <c:pt idx="3">
                  <c:v>Apr</c:v>
                </c:pt>
                <c:pt idx="4">
                  <c:v>May</c:v>
                </c:pt>
                <c:pt idx="5">
                  <c:v>Jun</c:v>
                </c:pt>
              </c:strCache>
            </c:strRef>
          </c:cat>
          <c:val>
            <c:numRef>
              <c:f>'pivot table'!$J$3:$J$9</c:f>
              <c:numCache>
                <c:formatCode>General</c:formatCode>
                <c:ptCount val="6"/>
                <c:pt idx="0">
                  <c:v>184924</c:v>
                </c:pt>
                <c:pt idx="1">
                  <c:v>195994</c:v>
                </c:pt>
                <c:pt idx="2">
                  <c:v>630589</c:v>
                </c:pt>
                <c:pt idx="3">
                  <c:v>183118</c:v>
                </c:pt>
                <c:pt idx="4">
                  <c:v>453798</c:v>
                </c:pt>
                <c:pt idx="5">
                  <c:v>335286</c:v>
                </c:pt>
              </c:numCache>
            </c:numRef>
          </c:val>
          <c:extLst>
            <c:ext xmlns:c16="http://schemas.microsoft.com/office/drawing/2014/chart" uri="{C3380CC4-5D6E-409C-BE32-E72D297353CC}">
              <c16:uniqueId val="{00000000-9BF4-4373-A0F8-5FB0FE76E65D}"/>
            </c:ext>
          </c:extLst>
        </c:ser>
        <c:dLbls>
          <c:dLblPos val="outEnd"/>
          <c:showLegendKey val="0"/>
          <c:showVal val="1"/>
          <c:showCatName val="0"/>
          <c:showSerName val="0"/>
          <c:showPercent val="0"/>
          <c:showBubbleSize val="0"/>
        </c:dLbls>
        <c:gapWidth val="219"/>
        <c:overlap val="-27"/>
        <c:axId val="1261552415"/>
        <c:axId val="1261523135"/>
      </c:barChart>
      <c:catAx>
        <c:axId val="1261552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523135"/>
        <c:crosses val="autoZero"/>
        <c:auto val="1"/>
        <c:lblAlgn val="ctr"/>
        <c:lblOffset val="100"/>
        <c:noMultiLvlLbl val="0"/>
      </c:catAx>
      <c:valAx>
        <c:axId val="1261523135"/>
        <c:scaling>
          <c:orientation val="minMax"/>
        </c:scaling>
        <c:delete val="1"/>
        <c:axPos val="l"/>
        <c:numFmt formatCode="General" sourceLinked="1"/>
        <c:majorTickMark val="none"/>
        <c:minorTickMark val="none"/>
        <c:tickLblPos val="nextTo"/>
        <c:crossAx val="1261552415"/>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project 1.xlsx]pivot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a:t>
            </a:r>
            <a:r>
              <a:rPr lang="en-US" baseline="0"/>
              <a:t>quantity sold per customer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table'!$B$26</c:f>
              <c:strCache>
                <c:ptCount val="1"/>
                <c:pt idx="0">
                  <c:v>Total</c:v>
                </c:pt>
              </c:strCache>
            </c:strRef>
          </c:tx>
          <c:spPr>
            <a:ln w="28575" cap="rnd">
              <a:solidFill>
                <a:schemeClr val="accent6">
                  <a:lumMod val="7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table'!$A$27:$A$33</c:f>
              <c:strCache>
                <c:ptCount val="6"/>
                <c:pt idx="0">
                  <c:v>Rohan</c:v>
                </c:pt>
                <c:pt idx="1">
                  <c:v>Meera</c:v>
                </c:pt>
                <c:pt idx="2">
                  <c:v>Vikram</c:v>
                </c:pt>
                <c:pt idx="3">
                  <c:v>Kiran</c:v>
                </c:pt>
                <c:pt idx="4">
                  <c:v>Ananya</c:v>
                </c:pt>
                <c:pt idx="5">
                  <c:v>Pooja</c:v>
                </c:pt>
              </c:strCache>
            </c:strRef>
          </c:cat>
          <c:val>
            <c:numRef>
              <c:f>'pivot table'!$B$27:$B$33</c:f>
              <c:numCache>
                <c:formatCode>General</c:formatCode>
                <c:ptCount val="6"/>
                <c:pt idx="0">
                  <c:v>15</c:v>
                </c:pt>
                <c:pt idx="1">
                  <c:v>15</c:v>
                </c:pt>
                <c:pt idx="2">
                  <c:v>10</c:v>
                </c:pt>
                <c:pt idx="3">
                  <c:v>10</c:v>
                </c:pt>
                <c:pt idx="4">
                  <c:v>10</c:v>
                </c:pt>
                <c:pt idx="5">
                  <c:v>8</c:v>
                </c:pt>
              </c:numCache>
            </c:numRef>
          </c:val>
          <c:smooth val="0"/>
          <c:extLst>
            <c:ext xmlns:c16="http://schemas.microsoft.com/office/drawing/2014/chart" uri="{C3380CC4-5D6E-409C-BE32-E72D297353CC}">
              <c16:uniqueId val="{00000000-27A0-49FA-8941-00917BDE5135}"/>
            </c:ext>
          </c:extLst>
        </c:ser>
        <c:dLbls>
          <c:dLblPos val="t"/>
          <c:showLegendKey val="0"/>
          <c:showVal val="1"/>
          <c:showCatName val="0"/>
          <c:showSerName val="0"/>
          <c:showPercent val="0"/>
          <c:showBubbleSize val="0"/>
        </c:dLbls>
        <c:smooth val="0"/>
        <c:axId val="1261513535"/>
        <c:axId val="1261516895"/>
      </c:lineChart>
      <c:catAx>
        <c:axId val="1261513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516895"/>
        <c:crosses val="autoZero"/>
        <c:auto val="1"/>
        <c:lblAlgn val="ctr"/>
        <c:lblOffset val="100"/>
        <c:noMultiLvlLbl val="0"/>
      </c:catAx>
      <c:valAx>
        <c:axId val="12615168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513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hyperlink" Target="https://pixabay.com/illustrations/profits-revenue-business-income-1953616/" TargetMode="External"/></Relationships>
</file>

<file path=xl/drawings/drawing1.xml><?xml version="1.0" encoding="utf-8"?>
<xdr:wsDr xmlns:xdr="http://schemas.openxmlformats.org/drawingml/2006/spreadsheetDrawing" xmlns:a="http://schemas.openxmlformats.org/drawingml/2006/main">
  <xdr:twoCellAnchor>
    <xdr:from>
      <xdr:col>2</xdr:col>
      <xdr:colOff>182880</xdr:colOff>
      <xdr:row>3</xdr:row>
      <xdr:rowOff>129540</xdr:rowOff>
    </xdr:from>
    <xdr:to>
      <xdr:col>5</xdr:col>
      <xdr:colOff>381000</xdr:colOff>
      <xdr:row>7</xdr:row>
      <xdr:rowOff>160020</xdr:rowOff>
    </xdr:to>
    <xdr:sp macro="" textlink="">
      <xdr:nvSpPr>
        <xdr:cNvPr id="2" name="Rectangle 1">
          <a:extLst>
            <a:ext uri="{FF2B5EF4-FFF2-40B4-BE49-F238E27FC236}">
              <a16:creationId xmlns:a16="http://schemas.microsoft.com/office/drawing/2014/main" id="{D4BC0EBC-BE8C-188A-3476-D90F77B761EC}"/>
            </a:ext>
          </a:extLst>
        </xdr:cNvPr>
        <xdr:cNvSpPr/>
      </xdr:nvSpPr>
      <xdr:spPr>
        <a:xfrm>
          <a:off x="3253740" y="678180"/>
          <a:ext cx="2026920" cy="762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Total sales</a:t>
          </a:r>
        </a:p>
      </xdr:txBody>
    </xdr:sp>
    <xdr:clientData/>
  </xdr:twoCellAnchor>
  <xdr:twoCellAnchor>
    <xdr:from>
      <xdr:col>6</xdr:col>
      <xdr:colOff>274320</xdr:colOff>
      <xdr:row>3</xdr:row>
      <xdr:rowOff>106680</xdr:rowOff>
    </xdr:from>
    <xdr:to>
      <xdr:col>9</xdr:col>
      <xdr:colOff>472440</xdr:colOff>
      <xdr:row>7</xdr:row>
      <xdr:rowOff>137160</xdr:rowOff>
    </xdr:to>
    <xdr:sp macro="" textlink="">
      <xdr:nvSpPr>
        <xdr:cNvPr id="3" name="Rectangle 2">
          <a:extLst>
            <a:ext uri="{FF2B5EF4-FFF2-40B4-BE49-F238E27FC236}">
              <a16:creationId xmlns:a16="http://schemas.microsoft.com/office/drawing/2014/main" id="{5A2381C5-16CC-646F-C4A4-D5A628A749C2}"/>
            </a:ext>
          </a:extLst>
        </xdr:cNvPr>
        <xdr:cNvSpPr/>
      </xdr:nvSpPr>
      <xdr:spPr>
        <a:xfrm>
          <a:off x="5783580" y="655320"/>
          <a:ext cx="2026920" cy="762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Total Quantity sold</a:t>
          </a:r>
        </a:p>
      </xdr:txBody>
    </xdr:sp>
    <xdr:clientData/>
  </xdr:twoCellAnchor>
  <xdr:twoCellAnchor>
    <xdr:from>
      <xdr:col>11</xdr:col>
      <xdr:colOff>182880</xdr:colOff>
      <xdr:row>3</xdr:row>
      <xdr:rowOff>68580</xdr:rowOff>
    </xdr:from>
    <xdr:to>
      <xdr:col>14</xdr:col>
      <xdr:colOff>381000</xdr:colOff>
      <xdr:row>7</xdr:row>
      <xdr:rowOff>99060</xdr:rowOff>
    </xdr:to>
    <xdr:sp macro="" textlink="">
      <xdr:nvSpPr>
        <xdr:cNvPr id="4" name="Rectangle 3">
          <a:extLst>
            <a:ext uri="{FF2B5EF4-FFF2-40B4-BE49-F238E27FC236}">
              <a16:creationId xmlns:a16="http://schemas.microsoft.com/office/drawing/2014/main" id="{1B36E07C-70C2-D626-A134-DBCF631679BB}"/>
            </a:ext>
          </a:extLst>
        </xdr:cNvPr>
        <xdr:cNvSpPr/>
      </xdr:nvSpPr>
      <xdr:spPr>
        <a:xfrm>
          <a:off x="9585960" y="617220"/>
          <a:ext cx="2781300" cy="762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Highest</a:t>
          </a:r>
          <a:r>
            <a:rPr lang="en-IN" sz="1100" baseline="0"/>
            <a:t>  Sold product count</a:t>
          </a:r>
          <a:endParaRPr lang="en-IN" sz="1100"/>
        </a:p>
      </xdr:txBody>
    </xdr:sp>
    <xdr:clientData/>
  </xdr:twoCellAnchor>
  <xdr:twoCellAnchor>
    <xdr:from>
      <xdr:col>1</xdr:col>
      <xdr:colOff>601980</xdr:colOff>
      <xdr:row>11</xdr:row>
      <xdr:rowOff>167156</xdr:rowOff>
    </xdr:from>
    <xdr:to>
      <xdr:col>7</xdr:col>
      <xdr:colOff>281940</xdr:colOff>
      <xdr:row>13</xdr:row>
      <xdr:rowOff>152884</xdr:rowOff>
    </xdr:to>
    <xdr:sp macro="" textlink="">
      <xdr:nvSpPr>
        <xdr:cNvPr id="5" name="Rectangle 4">
          <a:extLst>
            <a:ext uri="{FF2B5EF4-FFF2-40B4-BE49-F238E27FC236}">
              <a16:creationId xmlns:a16="http://schemas.microsoft.com/office/drawing/2014/main" id="{EB71DBC1-4B38-DCD2-8349-540BE179A103}"/>
            </a:ext>
          </a:extLst>
        </xdr:cNvPr>
        <xdr:cNvSpPr/>
      </xdr:nvSpPr>
      <xdr:spPr>
        <a:xfrm>
          <a:off x="3063240" y="2178836"/>
          <a:ext cx="4183380" cy="35148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t>Sales</a:t>
          </a:r>
          <a:r>
            <a:rPr lang="en-IN" sz="1400" baseline="0"/>
            <a:t> by region</a:t>
          </a:r>
          <a:endParaRPr lang="en-IN" sz="1400"/>
        </a:p>
      </xdr:txBody>
    </xdr:sp>
    <xdr:clientData/>
  </xdr:twoCellAnchor>
  <xdr:twoCellAnchor>
    <xdr:from>
      <xdr:col>9</xdr:col>
      <xdr:colOff>266700</xdr:colOff>
      <xdr:row>11</xdr:row>
      <xdr:rowOff>129540</xdr:rowOff>
    </xdr:from>
    <xdr:to>
      <xdr:col>16</xdr:col>
      <xdr:colOff>30480</xdr:colOff>
      <xdr:row>13</xdr:row>
      <xdr:rowOff>144780</xdr:rowOff>
    </xdr:to>
    <xdr:sp macro="" textlink="">
      <xdr:nvSpPr>
        <xdr:cNvPr id="6" name="Rectangle 5">
          <a:extLst>
            <a:ext uri="{FF2B5EF4-FFF2-40B4-BE49-F238E27FC236}">
              <a16:creationId xmlns:a16="http://schemas.microsoft.com/office/drawing/2014/main" id="{5214E184-0534-64F4-0DA8-15ED515F3724}"/>
            </a:ext>
          </a:extLst>
        </xdr:cNvPr>
        <xdr:cNvSpPr/>
      </xdr:nvSpPr>
      <xdr:spPr>
        <a:xfrm>
          <a:off x="7604760" y="2141220"/>
          <a:ext cx="4030980" cy="381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t>Sales by product</a:t>
          </a:r>
        </a:p>
      </xdr:txBody>
    </xdr:sp>
    <xdr:clientData/>
  </xdr:twoCellAnchor>
  <xdr:twoCellAnchor>
    <xdr:from>
      <xdr:col>3</xdr:col>
      <xdr:colOff>30480</xdr:colOff>
      <xdr:row>5</xdr:row>
      <xdr:rowOff>76200</xdr:rowOff>
    </xdr:from>
    <xdr:to>
      <xdr:col>5</xdr:col>
      <xdr:colOff>99060</xdr:colOff>
      <xdr:row>7</xdr:row>
      <xdr:rowOff>99060</xdr:rowOff>
    </xdr:to>
    <xdr:sp macro="" textlink="'pivot table'!B8">
      <xdr:nvSpPr>
        <xdr:cNvPr id="7" name="TextBox 6">
          <a:extLst>
            <a:ext uri="{FF2B5EF4-FFF2-40B4-BE49-F238E27FC236}">
              <a16:creationId xmlns:a16="http://schemas.microsoft.com/office/drawing/2014/main" id="{4A0C9752-E785-26EC-49CB-E0070B2F12ED}"/>
            </a:ext>
          </a:extLst>
        </xdr:cNvPr>
        <xdr:cNvSpPr txBox="1"/>
      </xdr:nvSpPr>
      <xdr:spPr>
        <a:xfrm>
          <a:off x="3710940" y="990600"/>
          <a:ext cx="182880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4FF66D4-56A1-4BA4-B2D7-DD3858F073D6}" type="TxLink">
            <a:rPr lang="en-US" sz="1800" b="0" i="0" u="none" strike="noStrike">
              <a:solidFill>
                <a:schemeClr val="bg2"/>
              </a:solidFill>
              <a:latin typeface="Calibri"/>
              <a:ea typeface="+mn-ea"/>
              <a:cs typeface="Calibri"/>
            </a:rPr>
            <a:pPr marL="0" indent="0" algn="ctr"/>
            <a:t> 19,83,709 </a:t>
          </a:fld>
          <a:endParaRPr lang="en-IN" sz="1800" b="0" i="0" u="none" strike="noStrike">
            <a:solidFill>
              <a:schemeClr val="bg2"/>
            </a:solidFill>
            <a:latin typeface="Calibri"/>
            <a:ea typeface="+mn-ea"/>
            <a:cs typeface="Calibri"/>
          </a:endParaRPr>
        </a:p>
      </xdr:txBody>
    </xdr:sp>
    <xdr:clientData/>
  </xdr:twoCellAnchor>
  <xdr:twoCellAnchor>
    <xdr:from>
      <xdr:col>6</xdr:col>
      <xdr:colOff>472440</xdr:colOff>
      <xdr:row>5</xdr:row>
      <xdr:rowOff>144780</xdr:rowOff>
    </xdr:from>
    <xdr:to>
      <xdr:col>9</xdr:col>
      <xdr:colOff>350520</xdr:colOff>
      <xdr:row>7</xdr:row>
      <xdr:rowOff>68580</xdr:rowOff>
    </xdr:to>
    <xdr:sp macro="" textlink="'pivot table'!C8">
      <xdr:nvSpPr>
        <xdr:cNvPr id="10" name="TextBox 9">
          <a:extLst>
            <a:ext uri="{FF2B5EF4-FFF2-40B4-BE49-F238E27FC236}">
              <a16:creationId xmlns:a16="http://schemas.microsoft.com/office/drawing/2014/main" id="{9A533796-ECC6-6B9D-2329-6A7DF2206C71}"/>
            </a:ext>
          </a:extLst>
        </xdr:cNvPr>
        <xdr:cNvSpPr txBox="1"/>
      </xdr:nvSpPr>
      <xdr:spPr>
        <a:xfrm>
          <a:off x="6827520" y="1059180"/>
          <a:ext cx="170688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B508578-0F62-4F6D-9905-9B539DB81D44}" type="TxLink">
            <a:rPr lang="en-US" sz="1800" b="0" i="0" u="none" strike="noStrike">
              <a:solidFill>
                <a:schemeClr val="bg2"/>
              </a:solidFill>
              <a:latin typeface="Calibri"/>
              <a:cs typeface="Calibri"/>
            </a:rPr>
            <a:pPr algn="ctr"/>
            <a:t>68</a:t>
          </a:fld>
          <a:r>
            <a:rPr lang="en-US" sz="1800" b="0" i="0" u="none" strike="noStrike">
              <a:solidFill>
                <a:schemeClr val="bg2"/>
              </a:solidFill>
              <a:latin typeface="Calibri"/>
              <a:cs typeface="Calibri"/>
            </a:rPr>
            <a:t> </a:t>
          </a:r>
          <a:endParaRPr lang="en-IN" sz="1800">
            <a:solidFill>
              <a:schemeClr val="bg2"/>
            </a:solidFill>
          </a:endParaRPr>
        </a:p>
      </xdr:txBody>
    </xdr:sp>
    <xdr:clientData/>
  </xdr:twoCellAnchor>
  <xdr:twoCellAnchor>
    <xdr:from>
      <xdr:col>11</xdr:col>
      <xdr:colOff>548640</xdr:colOff>
      <xdr:row>5</xdr:row>
      <xdr:rowOff>30480</xdr:rowOff>
    </xdr:from>
    <xdr:to>
      <xdr:col>14</xdr:col>
      <xdr:colOff>68580</xdr:colOff>
      <xdr:row>7</xdr:row>
      <xdr:rowOff>53340</xdr:rowOff>
    </xdr:to>
    <xdr:sp macro="" textlink="'pivot table'!E14">
      <xdr:nvSpPr>
        <xdr:cNvPr id="11" name="TextBox 10">
          <a:extLst>
            <a:ext uri="{FF2B5EF4-FFF2-40B4-BE49-F238E27FC236}">
              <a16:creationId xmlns:a16="http://schemas.microsoft.com/office/drawing/2014/main" id="{E3B7594E-0ED6-8DFB-0144-51A01C96686E}"/>
            </a:ext>
          </a:extLst>
        </xdr:cNvPr>
        <xdr:cNvSpPr txBox="1"/>
      </xdr:nvSpPr>
      <xdr:spPr>
        <a:xfrm>
          <a:off x="9951720" y="944880"/>
          <a:ext cx="210312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3A5460E-905C-4BB9-BB85-FEF457B6AB6B}" type="TxLink">
            <a:rPr lang="en-US" sz="1800" b="0" i="0" u="none" strike="noStrike">
              <a:solidFill>
                <a:schemeClr val="bg2"/>
              </a:solidFill>
              <a:latin typeface="Calibri"/>
              <a:ea typeface="+mn-ea"/>
              <a:cs typeface="Calibri"/>
            </a:rPr>
            <a:pPr marL="0" indent="0" algn="ctr"/>
            <a:t>23</a:t>
          </a:fld>
          <a:endParaRPr lang="en-IN" sz="1800" b="0" i="0" u="none" strike="noStrike">
            <a:solidFill>
              <a:schemeClr val="bg2"/>
            </a:solidFill>
            <a:latin typeface="Calibri"/>
            <a:ea typeface="+mn-ea"/>
            <a:cs typeface="Calibri"/>
          </a:endParaRPr>
        </a:p>
      </xdr:txBody>
    </xdr:sp>
    <xdr:clientData/>
  </xdr:twoCellAnchor>
  <xdr:twoCellAnchor>
    <xdr:from>
      <xdr:col>2</xdr:col>
      <xdr:colOff>15240</xdr:colOff>
      <xdr:row>26</xdr:row>
      <xdr:rowOff>45720</xdr:rowOff>
    </xdr:from>
    <xdr:to>
      <xdr:col>8</xdr:col>
      <xdr:colOff>83820</xdr:colOff>
      <xdr:row>41</xdr:row>
      <xdr:rowOff>45720</xdr:rowOff>
    </xdr:to>
    <xdr:graphicFrame macro="">
      <xdr:nvGraphicFramePr>
        <xdr:cNvPr id="12" name="Chart 11">
          <a:extLst>
            <a:ext uri="{FF2B5EF4-FFF2-40B4-BE49-F238E27FC236}">
              <a16:creationId xmlns:a16="http://schemas.microsoft.com/office/drawing/2014/main" id="{4B42882A-8462-469F-8D51-5615C57926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99060</xdr:colOff>
      <xdr:row>23</xdr:row>
      <xdr:rowOff>75716</xdr:rowOff>
    </xdr:from>
    <xdr:to>
      <xdr:col>7</xdr:col>
      <xdr:colOff>388620</xdr:colOff>
      <xdr:row>25</xdr:row>
      <xdr:rowOff>61444</xdr:rowOff>
    </xdr:to>
    <xdr:sp macro="" textlink="">
      <xdr:nvSpPr>
        <xdr:cNvPr id="13" name="Rectangle 12">
          <a:extLst>
            <a:ext uri="{FF2B5EF4-FFF2-40B4-BE49-F238E27FC236}">
              <a16:creationId xmlns:a16="http://schemas.microsoft.com/office/drawing/2014/main" id="{21D0C171-B3E7-2163-1C20-BB023437062A}"/>
            </a:ext>
          </a:extLst>
        </xdr:cNvPr>
        <xdr:cNvSpPr/>
      </xdr:nvSpPr>
      <xdr:spPr>
        <a:xfrm>
          <a:off x="3169920" y="4281956"/>
          <a:ext cx="4183380" cy="35148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t>Total</a:t>
          </a:r>
          <a:r>
            <a:rPr lang="en-IN" sz="1400" baseline="0"/>
            <a:t> Monthly Sales</a:t>
          </a:r>
          <a:endParaRPr lang="en-IN" sz="1400"/>
        </a:p>
      </xdr:txBody>
    </xdr:sp>
    <xdr:clientData/>
  </xdr:twoCellAnchor>
  <xdr:twoCellAnchor>
    <xdr:from>
      <xdr:col>9</xdr:col>
      <xdr:colOff>434340</xdr:colOff>
      <xdr:row>23</xdr:row>
      <xdr:rowOff>75716</xdr:rowOff>
    </xdr:from>
    <xdr:to>
      <xdr:col>15</xdr:col>
      <xdr:colOff>205740</xdr:colOff>
      <xdr:row>25</xdr:row>
      <xdr:rowOff>61444</xdr:rowOff>
    </xdr:to>
    <xdr:sp macro="" textlink="">
      <xdr:nvSpPr>
        <xdr:cNvPr id="15" name="Rectangle 14">
          <a:extLst>
            <a:ext uri="{FF2B5EF4-FFF2-40B4-BE49-F238E27FC236}">
              <a16:creationId xmlns:a16="http://schemas.microsoft.com/office/drawing/2014/main" id="{56A7EFBD-22C5-A376-77B3-5EA656716D4D}"/>
            </a:ext>
          </a:extLst>
        </xdr:cNvPr>
        <xdr:cNvSpPr/>
      </xdr:nvSpPr>
      <xdr:spPr>
        <a:xfrm>
          <a:off x="8618220" y="4281956"/>
          <a:ext cx="4183380" cy="35148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t>Customer</a:t>
          </a:r>
          <a:r>
            <a:rPr lang="en-IN" sz="1400" baseline="0"/>
            <a:t> wise Total Sales</a:t>
          </a:r>
          <a:endParaRPr lang="en-IN" sz="1400"/>
        </a:p>
      </xdr:txBody>
    </xdr:sp>
    <xdr:clientData/>
  </xdr:twoCellAnchor>
  <xdr:twoCellAnchor>
    <xdr:from>
      <xdr:col>9</xdr:col>
      <xdr:colOff>426720</xdr:colOff>
      <xdr:row>26</xdr:row>
      <xdr:rowOff>60960</xdr:rowOff>
    </xdr:from>
    <xdr:to>
      <xdr:col>15</xdr:col>
      <xdr:colOff>586740</xdr:colOff>
      <xdr:row>41</xdr:row>
      <xdr:rowOff>60960</xdr:rowOff>
    </xdr:to>
    <xdr:graphicFrame macro="">
      <xdr:nvGraphicFramePr>
        <xdr:cNvPr id="16" name="Chart 15">
          <a:extLst>
            <a:ext uri="{FF2B5EF4-FFF2-40B4-BE49-F238E27FC236}">
              <a16:creationId xmlns:a16="http://schemas.microsoft.com/office/drawing/2014/main" id="{6E3A750B-B7C2-4ABF-BD2C-4B500A8D92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144780</xdr:colOff>
      <xdr:row>2</xdr:row>
      <xdr:rowOff>7620</xdr:rowOff>
    </xdr:from>
    <xdr:to>
      <xdr:col>0</xdr:col>
      <xdr:colOff>2331720</xdr:colOff>
      <xdr:row>9</xdr:row>
      <xdr:rowOff>94298</xdr:rowOff>
    </xdr:to>
    <xdr:pic>
      <xdr:nvPicPr>
        <xdr:cNvPr id="20" name="Picture 19">
          <a:extLst>
            <a:ext uri="{FF2B5EF4-FFF2-40B4-BE49-F238E27FC236}">
              <a16:creationId xmlns:a16="http://schemas.microsoft.com/office/drawing/2014/main" id="{41E36515-C76D-3F7A-95BF-014E319A190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837473B0-CC2E-450A-ABE3-18F120FF3D39}">
              <a1611:picAttrSrcUrl xmlns:a1611="http://schemas.microsoft.com/office/drawing/2016/11/main" r:id="rId4"/>
            </a:ext>
          </a:extLst>
        </a:blip>
        <a:stretch>
          <a:fillRect/>
        </a:stretch>
      </xdr:blipFill>
      <xdr:spPr>
        <a:xfrm>
          <a:off x="144780" y="373380"/>
          <a:ext cx="2186940" cy="1366838"/>
        </a:xfrm>
        <a:prstGeom prst="rect">
          <a:avLst/>
        </a:prstGeom>
      </xdr:spPr>
    </xdr:pic>
    <xdr:clientData/>
  </xdr:twoCellAnchor>
  <xdr:twoCellAnchor editAs="oneCell">
    <xdr:from>
      <xdr:col>0</xdr:col>
      <xdr:colOff>198120</xdr:colOff>
      <xdr:row>10</xdr:row>
      <xdr:rowOff>99061</xdr:rowOff>
    </xdr:from>
    <xdr:to>
      <xdr:col>0</xdr:col>
      <xdr:colOff>2362200</xdr:colOff>
      <xdr:row>18</xdr:row>
      <xdr:rowOff>91441</xdr:rowOff>
    </xdr:to>
    <mc:AlternateContent xmlns:mc="http://schemas.openxmlformats.org/markup-compatibility/2006" xmlns:a14="http://schemas.microsoft.com/office/drawing/2010/main">
      <mc:Choice Requires="a14">
        <xdr:graphicFrame macro="">
          <xdr:nvGraphicFramePr>
            <xdr:cNvPr id="21" name="Customer_Name">
              <a:extLst>
                <a:ext uri="{FF2B5EF4-FFF2-40B4-BE49-F238E27FC236}">
                  <a16:creationId xmlns:a16="http://schemas.microsoft.com/office/drawing/2014/main" id="{5A32F949-B978-4C52-A7C7-4747C6820D93}"/>
                </a:ext>
              </a:extLst>
            </xdr:cNvPr>
            <xdr:cNvGraphicFramePr/>
          </xdr:nvGraphicFramePr>
          <xdr:xfrm>
            <a:off x="0" y="0"/>
            <a:ext cx="0" cy="0"/>
          </xdr:xfrm>
          <a:graphic>
            <a:graphicData uri="http://schemas.microsoft.com/office/drawing/2010/slicer">
              <sle:slicer xmlns:sle="http://schemas.microsoft.com/office/drawing/2010/slicer" name="Customer_Name"/>
            </a:graphicData>
          </a:graphic>
        </xdr:graphicFrame>
      </mc:Choice>
      <mc:Fallback xmlns="">
        <xdr:sp macro="" textlink="">
          <xdr:nvSpPr>
            <xdr:cNvPr id="0" name=""/>
            <xdr:cNvSpPr>
              <a:spLocks noTextEdit="1"/>
            </xdr:cNvSpPr>
          </xdr:nvSpPr>
          <xdr:spPr>
            <a:xfrm>
              <a:off x="198120" y="2209801"/>
              <a:ext cx="2164080" cy="1455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289560</xdr:colOff>
      <xdr:row>19</xdr:row>
      <xdr:rowOff>121921</xdr:rowOff>
    </xdr:from>
    <xdr:to>
      <xdr:col>0</xdr:col>
      <xdr:colOff>2110740</xdr:colOff>
      <xdr:row>27</xdr:row>
      <xdr:rowOff>45721</xdr:rowOff>
    </xdr:to>
    <mc:AlternateContent xmlns:mc="http://schemas.openxmlformats.org/markup-compatibility/2006" xmlns:a14="http://schemas.microsoft.com/office/drawing/2010/main">
      <mc:Choice Requires="a14">
        <xdr:graphicFrame macro="">
          <xdr:nvGraphicFramePr>
            <xdr:cNvPr id="22" name="Payment_Mode">
              <a:extLst>
                <a:ext uri="{FF2B5EF4-FFF2-40B4-BE49-F238E27FC236}">
                  <a16:creationId xmlns:a16="http://schemas.microsoft.com/office/drawing/2014/main" id="{5904F162-E424-454D-8F42-E4B521730850}"/>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289560" y="3878581"/>
              <a:ext cx="1821180" cy="1386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ju" refreshedDate="46028.588136805556" createdVersion="8" refreshedVersion="8" minRefreshableVersion="3" recordCount="100" xr:uid="{CE5D61AC-2974-427D-98B6-1E4E8C2AF0F0}">
  <cacheSource type="worksheet">
    <worksheetSource name="Table1"/>
  </cacheSource>
  <cacheFields count="12">
    <cacheField name="Order_ID" numFmtId="0">
      <sharedItems/>
    </cacheField>
    <cacheField name="Order_Date" numFmtId="164">
      <sharedItems containsSemiMixedTypes="0" containsNonDate="0" containsDate="1" containsString="0" minDate="2025-01-02T00:00:00" maxDate="2025-07-01T00:00:00" count="78">
        <d v="2025-04-30T00:00:00"/>
        <d v="2025-04-05T00:00:00"/>
        <d v="2025-04-25T00:00:00"/>
        <d v="2025-05-11T00:00:00"/>
        <d v="2025-06-22T00:00:00"/>
        <d v="2025-01-12T00:00:00"/>
        <d v="2025-06-20T00:00:00"/>
        <d v="2025-01-25T00:00:00"/>
        <d v="2025-05-10T00:00:00"/>
        <d v="2025-01-19T00:00:00"/>
        <d v="2025-02-27T00:00:00"/>
        <d v="2025-05-16T00:00:00"/>
        <d v="2025-04-15T00:00:00"/>
        <d v="2025-02-07T00:00:00"/>
        <d v="2025-04-08T00:00:00"/>
        <d v="2025-05-25T00:00:00"/>
        <d v="2025-02-11T00:00:00"/>
        <d v="2025-04-13T00:00:00"/>
        <d v="2025-02-08T00:00:00"/>
        <d v="2025-05-24T00:00:00"/>
        <d v="2025-06-05T00:00:00"/>
        <d v="2025-05-26T00:00:00"/>
        <d v="2025-01-23T00:00:00"/>
        <d v="2025-05-14T00:00:00"/>
        <d v="2025-06-14T00:00:00"/>
        <d v="2025-05-30T00:00:00"/>
        <d v="2025-03-30T00:00:00"/>
        <d v="2025-01-03T00:00:00"/>
        <d v="2025-04-04T00:00:00"/>
        <d v="2025-03-23T00:00:00"/>
        <d v="2025-03-17T00:00:00"/>
        <d v="2025-03-27T00:00:00"/>
        <d v="2025-06-30T00:00:00"/>
        <d v="2025-05-17T00:00:00"/>
        <d v="2025-05-06T00:00:00"/>
        <d v="2025-02-15T00:00:00"/>
        <d v="2025-01-11T00:00:00"/>
        <d v="2025-03-21T00:00:00"/>
        <d v="2025-06-27T00:00:00"/>
        <d v="2025-06-23T00:00:00"/>
        <d v="2025-03-09T00:00:00"/>
        <d v="2025-03-25T00:00:00"/>
        <d v="2025-02-18T00:00:00"/>
        <d v="2025-03-18T00:00:00"/>
        <d v="2025-01-26T00:00:00"/>
        <d v="2025-06-04T00:00:00"/>
        <d v="2025-02-03T00:00:00"/>
        <d v="2025-03-01T00:00:00"/>
        <d v="2025-05-09T00:00:00"/>
        <d v="2025-06-18T00:00:00"/>
        <d v="2025-04-11T00:00:00"/>
        <d v="2025-03-26T00:00:00"/>
        <d v="2025-05-03T00:00:00"/>
        <d v="2025-01-24T00:00:00"/>
        <d v="2025-05-29T00:00:00"/>
        <d v="2025-05-07T00:00:00"/>
        <d v="2025-01-31T00:00:00"/>
        <d v="2025-06-11T00:00:00"/>
        <d v="2025-01-05T00:00:00"/>
        <d v="2025-02-26T00:00:00"/>
        <d v="2025-06-25T00:00:00"/>
        <d v="2025-03-16T00:00:00"/>
        <d v="2025-01-20T00:00:00"/>
        <d v="2025-04-22T00:00:00"/>
        <d v="2025-03-04T00:00:00"/>
        <d v="2025-01-04T00:00:00"/>
        <d v="2025-01-16T00:00:00"/>
        <d v="2025-05-04T00:00:00"/>
        <d v="2025-05-08T00:00:00"/>
        <d v="2025-06-15T00:00:00"/>
        <d v="2025-04-24T00:00:00"/>
        <d v="2025-04-28T00:00:00"/>
        <d v="2025-02-16T00:00:00"/>
        <d v="2025-06-01T00:00:00"/>
        <d v="2025-03-07T00:00:00"/>
        <d v="2025-04-03T00:00:00"/>
        <d v="2025-01-30T00:00:00"/>
        <d v="2025-01-02T00:00:00"/>
      </sharedItems>
      <fieldGroup par="11"/>
    </cacheField>
    <cacheField name="Customer_Name" numFmtId="0">
      <sharedItems count="8">
        <s v="Pooja"/>
        <s v="Diya"/>
        <s v="Meera"/>
        <s v="Kiran"/>
        <s v="Aarav"/>
        <s v="Rohan"/>
        <s v="Ananya"/>
        <s v="Vikram"/>
      </sharedItems>
    </cacheField>
    <cacheField name="Region" numFmtId="0">
      <sharedItems count="4">
        <s v="South"/>
        <s v="East"/>
        <s v="North"/>
        <s v="West"/>
      </sharedItems>
    </cacheField>
    <cacheField name="Product" numFmtId="0">
      <sharedItems count="5">
        <s v="Laptop"/>
        <s v="Mobile"/>
        <s v="Tablet"/>
        <s v="Smartwatch"/>
        <s v="Headphones"/>
      </sharedItems>
    </cacheField>
    <cacheField name="Category" numFmtId="0">
      <sharedItems count="2">
        <s v="Electronics"/>
        <s v="Accessories"/>
      </sharedItems>
    </cacheField>
    <cacheField name="Quantity" numFmtId="0">
      <sharedItems containsSemiMixedTypes="0" containsString="0" containsNumber="1" containsInteger="1" minValue="1" maxValue="5"/>
    </cacheField>
    <cacheField name="Unit_Price" numFmtId="0">
      <sharedItems containsSemiMixedTypes="0" containsString="0" containsNumber="1" containsInteger="1" minValue="1597" maxValue="49908"/>
    </cacheField>
    <cacheField name="Total_Sales" numFmtId="0">
      <sharedItems containsSemiMixedTypes="0" containsString="0" containsNumber="1" containsInteger="1" minValue="5248" maxValue="244430"/>
    </cacheField>
    <cacheField name="Payment_Mode" numFmtId="0">
      <sharedItems count="4">
        <s v="UPI"/>
        <s v="Cash"/>
        <s v="Debit Card"/>
        <s v="Credit Card"/>
      </sharedItems>
    </cacheField>
    <cacheField name="Days (Order_Date)" numFmtId="0" databaseField="0">
      <fieldGroup base="1">
        <rangePr groupBy="days" startDate="2025-01-02T00:00:00" endDate="2025-07-01T00:00:00"/>
        <groupItems count="368">
          <s v="&lt;02-01-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5"/>
        </groupItems>
      </fieldGroup>
    </cacheField>
    <cacheField name="Months (Order_Date)" numFmtId="0" databaseField="0">
      <fieldGroup base="1">
        <rangePr groupBy="months" startDate="2025-01-02T00:00:00" endDate="2025-07-01T00:00:00"/>
        <groupItems count="14">
          <s v="&lt;02-01-25"/>
          <s v="Jan"/>
          <s v="Feb"/>
          <s v="Mar"/>
          <s v="Apr"/>
          <s v="May"/>
          <s v="Jun"/>
          <s v="Jul"/>
          <s v="Aug"/>
          <s v="Sep"/>
          <s v="Oct"/>
          <s v="Nov"/>
          <s v="Dec"/>
          <s v="&gt;01-07-25"/>
        </groupItems>
      </fieldGroup>
    </cacheField>
  </cacheFields>
  <extLst>
    <ext xmlns:x14="http://schemas.microsoft.com/office/spreadsheetml/2009/9/main" uri="{725AE2AE-9491-48be-B2B4-4EB974FC3084}">
      <x14:pivotCacheDefinition pivotCacheId="4962073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01"/>
    <x v="0"/>
    <x v="0"/>
    <x v="0"/>
    <x v="0"/>
    <x v="0"/>
    <n v="3"/>
    <n v="44856"/>
    <n v="134568"/>
    <x v="0"/>
  </r>
  <r>
    <s v="ORD0002"/>
    <x v="1"/>
    <x v="0"/>
    <x v="1"/>
    <x v="0"/>
    <x v="1"/>
    <n v="5"/>
    <n v="12332"/>
    <n v="61660"/>
    <x v="1"/>
  </r>
  <r>
    <s v="ORD0003"/>
    <x v="2"/>
    <x v="1"/>
    <x v="0"/>
    <x v="1"/>
    <x v="0"/>
    <n v="2"/>
    <n v="42847"/>
    <n v="85694"/>
    <x v="1"/>
  </r>
  <r>
    <s v="ORD0004"/>
    <x v="3"/>
    <x v="2"/>
    <x v="2"/>
    <x v="1"/>
    <x v="0"/>
    <n v="1"/>
    <n v="35731"/>
    <n v="35731"/>
    <x v="0"/>
  </r>
  <r>
    <s v="ORD0005"/>
    <x v="4"/>
    <x v="0"/>
    <x v="2"/>
    <x v="2"/>
    <x v="0"/>
    <n v="1"/>
    <n v="43475"/>
    <n v="43475"/>
    <x v="2"/>
  </r>
  <r>
    <s v="ORD0006"/>
    <x v="5"/>
    <x v="1"/>
    <x v="1"/>
    <x v="3"/>
    <x v="1"/>
    <n v="2"/>
    <n v="2624"/>
    <n v="5248"/>
    <x v="3"/>
  </r>
  <r>
    <s v="ORD0007"/>
    <x v="6"/>
    <x v="2"/>
    <x v="2"/>
    <x v="1"/>
    <x v="0"/>
    <n v="2"/>
    <n v="17348"/>
    <n v="34696"/>
    <x v="3"/>
  </r>
  <r>
    <s v="ORD0008"/>
    <x v="7"/>
    <x v="0"/>
    <x v="2"/>
    <x v="0"/>
    <x v="1"/>
    <n v="5"/>
    <n v="6996"/>
    <n v="34980"/>
    <x v="3"/>
  </r>
  <r>
    <s v="ORD0009"/>
    <x v="5"/>
    <x v="2"/>
    <x v="2"/>
    <x v="1"/>
    <x v="1"/>
    <n v="1"/>
    <n v="18386"/>
    <n v="18386"/>
    <x v="2"/>
  </r>
  <r>
    <s v="ORD0010"/>
    <x v="8"/>
    <x v="1"/>
    <x v="3"/>
    <x v="3"/>
    <x v="1"/>
    <n v="4"/>
    <n v="32867"/>
    <n v="131468"/>
    <x v="1"/>
  </r>
  <r>
    <s v="ORD0011"/>
    <x v="9"/>
    <x v="2"/>
    <x v="2"/>
    <x v="2"/>
    <x v="0"/>
    <n v="2"/>
    <n v="41604"/>
    <n v="83208"/>
    <x v="1"/>
  </r>
  <r>
    <s v="ORD0012"/>
    <x v="10"/>
    <x v="3"/>
    <x v="2"/>
    <x v="3"/>
    <x v="1"/>
    <n v="2"/>
    <n v="28140"/>
    <n v="56280"/>
    <x v="2"/>
  </r>
  <r>
    <s v="ORD0013"/>
    <x v="11"/>
    <x v="4"/>
    <x v="3"/>
    <x v="1"/>
    <x v="0"/>
    <n v="4"/>
    <n v="15048"/>
    <n v="60192"/>
    <x v="2"/>
  </r>
  <r>
    <s v="ORD0014"/>
    <x v="12"/>
    <x v="1"/>
    <x v="2"/>
    <x v="4"/>
    <x v="1"/>
    <n v="5"/>
    <n v="40969"/>
    <n v="204845"/>
    <x v="3"/>
  </r>
  <r>
    <s v="ORD0015"/>
    <x v="13"/>
    <x v="2"/>
    <x v="1"/>
    <x v="4"/>
    <x v="0"/>
    <n v="2"/>
    <n v="5951"/>
    <n v="11902"/>
    <x v="0"/>
  </r>
  <r>
    <s v="ORD0016"/>
    <x v="14"/>
    <x v="4"/>
    <x v="3"/>
    <x v="0"/>
    <x v="0"/>
    <n v="1"/>
    <n v="46134"/>
    <n v="46134"/>
    <x v="2"/>
  </r>
  <r>
    <s v="ORD0017"/>
    <x v="15"/>
    <x v="3"/>
    <x v="1"/>
    <x v="2"/>
    <x v="1"/>
    <n v="3"/>
    <n v="10514"/>
    <n v="31542"/>
    <x v="1"/>
  </r>
  <r>
    <s v="ORD0018"/>
    <x v="2"/>
    <x v="5"/>
    <x v="3"/>
    <x v="2"/>
    <x v="1"/>
    <n v="5"/>
    <n v="1758"/>
    <n v="8790"/>
    <x v="3"/>
  </r>
  <r>
    <s v="ORD0019"/>
    <x v="16"/>
    <x v="6"/>
    <x v="1"/>
    <x v="3"/>
    <x v="0"/>
    <n v="2"/>
    <n v="23022"/>
    <n v="46044"/>
    <x v="0"/>
  </r>
  <r>
    <s v="ORD0020"/>
    <x v="17"/>
    <x v="5"/>
    <x v="2"/>
    <x v="4"/>
    <x v="1"/>
    <n v="2"/>
    <n v="47356"/>
    <n v="94712"/>
    <x v="3"/>
  </r>
  <r>
    <s v="ORD0021"/>
    <x v="18"/>
    <x v="4"/>
    <x v="3"/>
    <x v="4"/>
    <x v="0"/>
    <n v="5"/>
    <n v="36693"/>
    <n v="183465"/>
    <x v="0"/>
  </r>
  <r>
    <s v="ORD0022"/>
    <x v="19"/>
    <x v="6"/>
    <x v="3"/>
    <x v="4"/>
    <x v="1"/>
    <n v="1"/>
    <n v="15647"/>
    <n v="15647"/>
    <x v="2"/>
  </r>
  <r>
    <s v="ORD0023"/>
    <x v="20"/>
    <x v="2"/>
    <x v="1"/>
    <x v="3"/>
    <x v="0"/>
    <n v="1"/>
    <n v="15240"/>
    <n v="15240"/>
    <x v="2"/>
  </r>
  <r>
    <s v="ORD0024"/>
    <x v="21"/>
    <x v="1"/>
    <x v="1"/>
    <x v="4"/>
    <x v="1"/>
    <n v="5"/>
    <n v="7265"/>
    <n v="36325"/>
    <x v="1"/>
  </r>
  <r>
    <s v="ORD0025"/>
    <x v="22"/>
    <x v="1"/>
    <x v="3"/>
    <x v="3"/>
    <x v="0"/>
    <n v="4"/>
    <n v="17464"/>
    <n v="69856"/>
    <x v="2"/>
  </r>
  <r>
    <s v="ORD0026"/>
    <x v="16"/>
    <x v="6"/>
    <x v="3"/>
    <x v="0"/>
    <x v="1"/>
    <n v="4"/>
    <n v="19223"/>
    <n v="76892"/>
    <x v="3"/>
  </r>
  <r>
    <s v="ORD0027"/>
    <x v="23"/>
    <x v="3"/>
    <x v="2"/>
    <x v="0"/>
    <x v="1"/>
    <n v="4"/>
    <n v="49908"/>
    <n v="199632"/>
    <x v="2"/>
  </r>
  <r>
    <s v="ORD0028"/>
    <x v="24"/>
    <x v="1"/>
    <x v="1"/>
    <x v="4"/>
    <x v="1"/>
    <n v="3"/>
    <n v="6875"/>
    <n v="20625"/>
    <x v="3"/>
  </r>
  <r>
    <s v="ORD0029"/>
    <x v="25"/>
    <x v="7"/>
    <x v="1"/>
    <x v="3"/>
    <x v="1"/>
    <n v="4"/>
    <n v="47797"/>
    <n v="191188"/>
    <x v="2"/>
  </r>
  <r>
    <s v="ORD0030"/>
    <x v="26"/>
    <x v="0"/>
    <x v="1"/>
    <x v="1"/>
    <x v="1"/>
    <n v="3"/>
    <n v="39871"/>
    <n v="119613"/>
    <x v="1"/>
  </r>
  <r>
    <s v="ORD0031"/>
    <x v="27"/>
    <x v="6"/>
    <x v="0"/>
    <x v="3"/>
    <x v="1"/>
    <n v="3"/>
    <n v="24478"/>
    <n v="73434"/>
    <x v="1"/>
  </r>
  <r>
    <s v="ORD0032"/>
    <x v="28"/>
    <x v="6"/>
    <x v="2"/>
    <x v="3"/>
    <x v="1"/>
    <n v="4"/>
    <n v="5165"/>
    <n v="20660"/>
    <x v="2"/>
  </r>
  <r>
    <s v="ORD0033"/>
    <x v="5"/>
    <x v="7"/>
    <x v="2"/>
    <x v="4"/>
    <x v="0"/>
    <n v="4"/>
    <n v="35036"/>
    <n v="140144"/>
    <x v="1"/>
  </r>
  <r>
    <s v="ORD0034"/>
    <x v="29"/>
    <x v="5"/>
    <x v="1"/>
    <x v="1"/>
    <x v="0"/>
    <n v="2"/>
    <n v="47915"/>
    <n v="95830"/>
    <x v="2"/>
  </r>
  <r>
    <s v="ORD0035"/>
    <x v="30"/>
    <x v="7"/>
    <x v="3"/>
    <x v="0"/>
    <x v="1"/>
    <n v="1"/>
    <n v="17647"/>
    <n v="17647"/>
    <x v="3"/>
  </r>
  <r>
    <s v="ORD0036"/>
    <x v="31"/>
    <x v="7"/>
    <x v="1"/>
    <x v="0"/>
    <x v="0"/>
    <n v="4"/>
    <n v="7173"/>
    <n v="28692"/>
    <x v="0"/>
  </r>
  <r>
    <s v="ORD0037"/>
    <x v="32"/>
    <x v="7"/>
    <x v="2"/>
    <x v="1"/>
    <x v="1"/>
    <n v="1"/>
    <n v="29645"/>
    <n v="29645"/>
    <x v="1"/>
  </r>
  <r>
    <s v="ORD0038"/>
    <x v="33"/>
    <x v="4"/>
    <x v="1"/>
    <x v="2"/>
    <x v="1"/>
    <n v="5"/>
    <n v="25779"/>
    <n v="128895"/>
    <x v="0"/>
  </r>
  <r>
    <s v="ORD0039"/>
    <x v="27"/>
    <x v="7"/>
    <x v="0"/>
    <x v="4"/>
    <x v="0"/>
    <n v="2"/>
    <n v="48495"/>
    <n v="96990"/>
    <x v="2"/>
  </r>
  <r>
    <s v="ORD0040"/>
    <x v="34"/>
    <x v="2"/>
    <x v="1"/>
    <x v="4"/>
    <x v="0"/>
    <n v="4"/>
    <n v="26949"/>
    <n v="107796"/>
    <x v="2"/>
  </r>
  <r>
    <s v="ORD0041"/>
    <x v="35"/>
    <x v="3"/>
    <x v="1"/>
    <x v="1"/>
    <x v="1"/>
    <n v="2"/>
    <n v="40792"/>
    <n v="81584"/>
    <x v="2"/>
  </r>
  <r>
    <s v="ORD0042"/>
    <x v="36"/>
    <x v="5"/>
    <x v="3"/>
    <x v="4"/>
    <x v="0"/>
    <n v="4"/>
    <n v="46231"/>
    <n v="184924"/>
    <x v="0"/>
  </r>
  <r>
    <s v="ORD0043"/>
    <x v="37"/>
    <x v="5"/>
    <x v="0"/>
    <x v="0"/>
    <x v="0"/>
    <n v="5"/>
    <n v="25819"/>
    <n v="129095"/>
    <x v="0"/>
  </r>
  <r>
    <s v="ORD0044"/>
    <x v="38"/>
    <x v="6"/>
    <x v="0"/>
    <x v="1"/>
    <x v="1"/>
    <n v="3"/>
    <n v="15942"/>
    <n v="47826"/>
    <x v="1"/>
  </r>
  <r>
    <s v="ORD0045"/>
    <x v="30"/>
    <x v="2"/>
    <x v="2"/>
    <x v="2"/>
    <x v="0"/>
    <n v="4"/>
    <n v="21476"/>
    <n v="85904"/>
    <x v="0"/>
  </r>
  <r>
    <s v="ORD0046"/>
    <x v="39"/>
    <x v="2"/>
    <x v="1"/>
    <x v="4"/>
    <x v="1"/>
    <n v="5"/>
    <n v="43342"/>
    <n v="216710"/>
    <x v="0"/>
  </r>
  <r>
    <s v="ORD0047"/>
    <x v="40"/>
    <x v="5"/>
    <x v="0"/>
    <x v="3"/>
    <x v="1"/>
    <n v="1"/>
    <n v="44591"/>
    <n v="44591"/>
    <x v="1"/>
  </r>
  <r>
    <s v="ORD0048"/>
    <x v="31"/>
    <x v="5"/>
    <x v="2"/>
    <x v="0"/>
    <x v="0"/>
    <n v="5"/>
    <n v="22833"/>
    <n v="114165"/>
    <x v="1"/>
  </r>
  <r>
    <s v="ORD0049"/>
    <x v="41"/>
    <x v="4"/>
    <x v="0"/>
    <x v="1"/>
    <x v="1"/>
    <n v="2"/>
    <n v="33357"/>
    <n v="66714"/>
    <x v="0"/>
  </r>
  <r>
    <s v="ORD0050"/>
    <x v="42"/>
    <x v="3"/>
    <x v="3"/>
    <x v="0"/>
    <x v="1"/>
    <n v="2"/>
    <n v="20149"/>
    <n v="40298"/>
    <x v="1"/>
  </r>
  <r>
    <s v="ORD0051"/>
    <x v="43"/>
    <x v="7"/>
    <x v="1"/>
    <x v="3"/>
    <x v="1"/>
    <n v="1"/>
    <n v="35715"/>
    <n v="35715"/>
    <x v="3"/>
  </r>
  <r>
    <s v="ORD0052"/>
    <x v="42"/>
    <x v="3"/>
    <x v="2"/>
    <x v="2"/>
    <x v="1"/>
    <n v="2"/>
    <n v="5270"/>
    <n v="10540"/>
    <x v="1"/>
  </r>
  <r>
    <s v="ORD0053"/>
    <x v="44"/>
    <x v="4"/>
    <x v="0"/>
    <x v="1"/>
    <x v="0"/>
    <n v="4"/>
    <n v="42784"/>
    <n v="171136"/>
    <x v="2"/>
  </r>
  <r>
    <s v="ORD0054"/>
    <x v="45"/>
    <x v="1"/>
    <x v="3"/>
    <x v="2"/>
    <x v="1"/>
    <n v="1"/>
    <n v="37891"/>
    <n v="37891"/>
    <x v="1"/>
  </r>
  <r>
    <s v="ORD0055"/>
    <x v="46"/>
    <x v="6"/>
    <x v="0"/>
    <x v="0"/>
    <x v="1"/>
    <n v="1"/>
    <n v="6267"/>
    <n v="6267"/>
    <x v="2"/>
  </r>
  <r>
    <s v="ORD0056"/>
    <x v="47"/>
    <x v="0"/>
    <x v="1"/>
    <x v="3"/>
    <x v="0"/>
    <n v="5"/>
    <n v="48886"/>
    <n v="244430"/>
    <x v="0"/>
  </r>
  <r>
    <s v="ORD0057"/>
    <x v="48"/>
    <x v="7"/>
    <x v="0"/>
    <x v="1"/>
    <x v="0"/>
    <n v="2"/>
    <n v="24781"/>
    <n v="49562"/>
    <x v="0"/>
  </r>
  <r>
    <s v="ORD0058"/>
    <x v="14"/>
    <x v="6"/>
    <x v="3"/>
    <x v="2"/>
    <x v="0"/>
    <n v="4"/>
    <n v="2104"/>
    <n v="8416"/>
    <x v="2"/>
  </r>
  <r>
    <s v="ORD0059"/>
    <x v="49"/>
    <x v="4"/>
    <x v="1"/>
    <x v="3"/>
    <x v="0"/>
    <n v="3"/>
    <n v="13507"/>
    <n v="40521"/>
    <x v="0"/>
  </r>
  <r>
    <s v="ORD0060"/>
    <x v="50"/>
    <x v="6"/>
    <x v="2"/>
    <x v="2"/>
    <x v="0"/>
    <n v="4"/>
    <n v="38003"/>
    <n v="152012"/>
    <x v="3"/>
  </r>
  <r>
    <s v="ORD0061"/>
    <x v="51"/>
    <x v="4"/>
    <x v="1"/>
    <x v="0"/>
    <x v="1"/>
    <n v="4"/>
    <n v="3137"/>
    <n v="12548"/>
    <x v="3"/>
  </r>
  <r>
    <s v="ORD0062"/>
    <x v="52"/>
    <x v="3"/>
    <x v="3"/>
    <x v="2"/>
    <x v="1"/>
    <n v="1"/>
    <n v="43239"/>
    <n v="43239"/>
    <x v="0"/>
  </r>
  <r>
    <s v="ORD0063"/>
    <x v="53"/>
    <x v="4"/>
    <x v="1"/>
    <x v="0"/>
    <x v="1"/>
    <n v="4"/>
    <n v="42175"/>
    <n v="168700"/>
    <x v="2"/>
  </r>
  <r>
    <s v="ORD0064"/>
    <x v="54"/>
    <x v="2"/>
    <x v="2"/>
    <x v="1"/>
    <x v="1"/>
    <n v="5"/>
    <n v="2513"/>
    <n v="12565"/>
    <x v="2"/>
  </r>
  <r>
    <s v="ORD0065"/>
    <x v="55"/>
    <x v="6"/>
    <x v="3"/>
    <x v="2"/>
    <x v="1"/>
    <n v="4"/>
    <n v="34655"/>
    <n v="138620"/>
    <x v="0"/>
  </r>
  <r>
    <s v="ORD0066"/>
    <x v="56"/>
    <x v="5"/>
    <x v="0"/>
    <x v="1"/>
    <x v="0"/>
    <n v="5"/>
    <n v="46068"/>
    <n v="230340"/>
    <x v="2"/>
  </r>
  <r>
    <s v="ORD0067"/>
    <x v="40"/>
    <x v="1"/>
    <x v="2"/>
    <x v="1"/>
    <x v="0"/>
    <n v="4"/>
    <n v="3616"/>
    <n v="14464"/>
    <x v="3"/>
  </r>
  <r>
    <s v="ORD0068"/>
    <x v="4"/>
    <x v="3"/>
    <x v="0"/>
    <x v="4"/>
    <x v="1"/>
    <n v="2"/>
    <n v="42188"/>
    <n v="84376"/>
    <x v="1"/>
  </r>
  <r>
    <s v="ORD0069"/>
    <x v="57"/>
    <x v="7"/>
    <x v="1"/>
    <x v="2"/>
    <x v="1"/>
    <n v="5"/>
    <n v="11575"/>
    <n v="57875"/>
    <x v="3"/>
  </r>
  <r>
    <s v="ORD0070"/>
    <x v="58"/>
    <x v="6"/>
    <x v="1"/>
    <x v="2"/>
    <x v="0"/>
    <n v="1"/>
    <n v="31641"/>
    <n v="31641"/>
    <x v="2"/>
  </r>
  <r>
    <s v="ORD0071"/>
    <x v="59"/>
    <x v="3"/>
    <x v="3"/>
    <x v="1"/>
    <x v="0"/>
    <n v="3"/>
    <n v="27399"/>
    <n v="82197"/>
    <x v="2"/>
  </r>
  <r>
    <s v="ORD0072"/>
    <x v="52"/>
    <x v="0"/>
    <x v="2"/>
    <x v="4"/>
    <x v="1"/>
    <n v="5"/>
    <n v="42855"/>
    <n v="214275"/>
    <x v="1"/>
  </r>
  <r>
    <s v="ORD0073"/>
    <x v="52"/>
    <x v="3"/>
    <x v="0"/>
    <x v="0"/>
    <x v="0"/>
    <n v="4"/>
    <n v="35749"/>
    <n v="142996"/>
    <x v="0"/>
  </r>
  <r>
    <s v="ORD0074"/>
    <x v="42"/>
    <x v="7"/>
    <x v="1"/>
    <x v="2"/>
    <x v="0"/>
    <n v="4"/>
    <n v="34512"/>
    <n v="138048"/>
    <x v="0"/>
  </r>
  <r>
    <s v="ORD0075"/>
    <x v="60"/>
    <x v="2"/>
    <x v="0"/>
    <x v="4"/>
    <x v="1"/>
    <n v="3"/>
    <n v="24604"/>
    <n v="73812"/>
    <x v="0"/>
  </r>
  <r>
    <s v="ORD0076"/>
    <x v="22"/>
    <x v="1"/>
    <x v="1"/>
    <x v="4"/>
    <x v="1"/>
    <n v="2"/>
    <n v="40362"/>
    <n v="80724"/>
    <x v="3"/>
  </r>
  <r>
    <s v="ORD0077"/>
    <x v="61"/>
    <x v="3"/>
    <x v="2"/>
    <x v="2"/>
    <x v="0"/>
    <n v="5"/>
    <n v="21973"/>
    <n v="109865"/>
    <x v="1"/>
  </r>
  <r>
    <s v="ORD0078"/>
    <x v="62"/>
    <x v="1"/>
    <x v="3"/>
    <x v="2"/>
    <x v="1"/>
    <n v="2"/>
    <n v="16059"/>
    <n v="32118"/>
    <x v="3"/>
  </r>
  <r>
    <s v="ORD0079"/>
    <x v="63"/>
    <x v="6"/>
    <x v="2"/>
    <x v="2"/>
    <x v="0"/>
    <n v="5"/>
    <n v="27291"/>
    <n v="136455"/>
    <x v="3"/>
  </r>
  <r>
    <s v="ORD0080"/>
    <x v="64"/>
    <x v="3"/>
    <x v="1"/>
    <x v="3"/>
    <x v="0"/>
    <n v="3"/>
    <n v="22832"/>
    <n v="68496"/>
    <x v="0"/>
  </r>
  <r>
    <s v="ORD0081"/>
    <x v="65"/>
    <x v="5"/>
    <x v="3"/>
    <x v="2"/>
    <x v="1"/>
    <n v="1"/>
    <n v="37789"/>
    <n v="37789"/>
    <x v="2"/>
  </r>
  <r>
    <s v="ORD0082"/>
    <x v="23"/>
    <x v="0"/>
    <x v="2"/>
    <x v="3"/>
    <x v="1"/>
    <n v="2"/>
    <n v="25469"/>
    <n v="50938"/>
    <x v="3"/>
  </r>
  <r>
    <s v="ORD0083"/>
    <x v="66"/>
    <x v="3"/>
    <x v="2"/>
    <x v="1"/>
    <x v="1"/>
    <n v="2"/>
    <n v="45094"/>
    <n v="90188"/>
    <x v="1"/>
  </r>
  <r>
    <s v="ORD0084"/>
    <x v="67"/>
    <x v="7"/>
    <x v="0"/>
    <x v="1"/>
    <x v="0"/>
    <n v="3"/>
    <n v="41455"/>
    <n v="124365"/>
    <x v="2"/>
  </r>
  <r>
    <s v="ORD0085"/>
    <x v="68"/>
    <x v="5"/>
    <x v="3"/>
    <x v="3"/>
    <x v="1"/>
    <n v="3"/>
    <n v="44335"/>
    <n v="133005"/>
    <x v="3"/>
  </r>
  <r>
    <s v="ORD0086"/>
    <x v="11"/>
    <x v="5"/>
    <x v="1"/>
    <x v="2"/>
    <x v="0"/>
    <n v="2"/>
    <n v="21825"/>
    <n v="43650"/>
    <x v="0"/>
  </r>
  <r>
    <s v="ORD0087"/>
    <x v="69"/>
    <x v="5"/>
    <x v="1"/>
    <x v="2"/>
    <x v="1"/>
    <n v="4"/>
    <n v="11191"/>
    <n v="44764"/>
    <x v="0"/>
  </r>
  <r>
    <s v="ORD0088"/>
    <x v="70"/>
    <x v="4"/>
    <x v="1"/>
    <x v="4"/>
    <x v="0"/>
    <n v="1"/>
    <n v="39955"/>
    <n v="39955"/>
    <x v="2"/>
  </r>
  <r>
    <s v="ORD0089"/>
    <x v="71"/>
    <x v="3"/>
    <x v="2"/>
    <x v="3"/>
    <x v="0"/>
    <n v="2"/>
    <n v="24275"/>
    <n v="48550"/>
    <x v="0"/>
  </r>
  <r>
    <s v="ORD0090"/>
    <x v="14"/>
    <x v="0"/>
    <x v="3"/>
    <x v="1"/>
    <x v="0"/>
    <n v="5"/>
    <n v="10477"/>
    <n v="52385"/>
    <x v="1"/>
  </r>
  <r>
    <s v="ORD0091"/>
    <x v="72"/>
    <x v="6"/>
    <x v="2"/>
    <x v="1"/>
    <x v="1"/>
    <n v="5"/>
    <n v="26751"/>
    <n v="133755"/>
    <x v="1"/>
  </r>
  <r>
    <s v="ORD0092"/>
    <x v="69"/>
    <x v="4"/>
    <x v="2"/>
    <x v="3"/>
    <x v="0"/>
    <n v="2"/>
    <n v="42883"/>
    <n v="85766"/>
    <x v="1"/>
  </r>
  <r>
    <s v="ORD0093"/>
    <x v="73"/>
    <x v="0"/>
    <x v="1"/>
    <x v="4"/>
    <x v="0"/>
    <n v="2"/>
    <n v="32561"/>
    <n v="65122"/>
    <x v="1"/>
  </r>
  <r>
    <s v="ORD0094"/>
    <x v="23"/>
    <x v="6"/>
    <x v="0"/>
    <x v="4"/>
    <x v="0"/>
    <n v="1"/>
    <n v="9183"/>
    <n v="9183"/>
    <x v="1"/>
  </r>
  <r>
    <s v="ORD0095"/>
    <x v="74"/>
    <x v="6"/>
    <x v="3"/>
    <x v="2"/>
    <x v="0"/>
    <n v="4"/>
    <n v="18493"/>
    <n v="73972"/>
    <x v="0"/>
  </r>
  <r>
    <s v="ORD0096"/>
    <x v="75"/>
    <x v="7"/>
    <x v="3"/>
    <x v="1"/>
    <x v="0"/>
    <n v="4"/>
    <n v="36217"/>
    <n v="144868"/>
    <x v="3"/>
  </r>
  <r>
    <s v="ORD0097"/>
    <x v="19"/>
    <x v="5"/>
    <x v="2"/>
    <x v="2"/>
    <x v="0"/>
    <n v="2"/>
    <n v="15027"/>
    <n v="30054"/>
    <x v="3"/>
  </r>
  <r>
    <s v="ORD0098"/>
    <x v="76"/>
    <x v="2"/>
    <x v="1"/>
    <x v="2"/>
    <x v="1"/>
    <n v="4"/>
    <n v="1597"/>
    <n v="6388"/>
    <x v="2"/>
  </r>
  <r>
    <s v="ORD0099"/>
    <x v="77"/>
    <x v="4"/>
    <x v="1"/>
    <x v="0"/>
    <x v="1"/>
    <n v="2"/>
    <n v="18864"/>
    <n v="37728"/>
    <x v="0"/>
  </r>
  <r>
    <s v="ORD0100"/>
    <x v="52"/>
    <x v="5"/>
    <x v="1"/>
    <x v="1"/>
    <x v="1"/>
    <n v="5"/>
    <n v="28670"/>
    <n v="14335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DD271F-BD7E-4AEE-9EFF-FDE2FC237B2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A3:C8" firstHeaderRow="0" firstDataRow="1" firstDataCol="1"/>
  <pivotFields count="12">
    <pivotField showAll="0"/>
    <pivotField numFmtId="164" showAll="0">
      <items count="79">
        <item x="77"/>
        <item x="27"/>
        <item x="65"/>
        <item x="58"/>
        <item x="36"/>
        <item x="5"/>
        <item x="66"/>
        <item x="9"/>
        <item x="62"/>
        <item x="22"/>
        <item x="53"/>
        <item x="7"/>
        <item x="44"/>
        <item x="76"/>
        <item x="56"/>
        <item x="46"/>
        <item x="13"/>
        <item x="18"/>
        <item x="16"/>
        <item x="35"/>
        <item x="72"/>
        <item x="42"/>
        <item x="59"/>
        <item x="10"/>
        <item x="47"/>
        <item x="64"/>
        <item x="74"/>
        <item x="40"/>
        <item x="61"/>
        <item x="30"/>
        <item x="43"/>
        <item x="37"/>
        <item x="29"/>
        <item x="41"/>
        <item x="51"/>
        <item x="31"/>
        <item x="26"/>
        <item x="75"/>
        <item x="28"/>
        <item x="1"/>
        <item x="14"/>
        <item x="50"/>
        <item x="17"/>
        <item x="12"/>
        <item x="63"/>
        <item x="70"/>
        <item x="2"/>
        <item x="71"/>
        <item x="0"/>
        <item x="52"/>
        <item x="67"/>
        <item x="34"/>
        <item x="55"/>
        <item x="68"/>
        <item x="48"/>
        <item x="8"/>
        <item x="3"/>
        <item x="23"/>
        <item x="11"/>
        <item x="33"/>
        <item x="19"/>
        <item x="15"/>
        <item x="21"/>
        <item x="54"/>
        <item x="25"/>
        <item x="73"/>
        <item x="45"/>
        <item x="20"/>
        <item x="57"/>
        <item x="24"/>
        <item x="69"/>
        <item x="49"/>
        <item x="6"/>
        <item x="4"/>
        <item x="39"/>
        <item x="60"/>
        <item x="38"/>
        <item x="32"/>
        <item t="default"/>
      </items>
    </pivotField>
    <pivotField showAll="0">
      <items count="9">
        <item h="1" x="4"/>
        <item x="6"/>
        <item x="1"/>
        <item x="3"/>
        <item x="2"/>
        <item x="0"/>
        <item x="5"/>
        <item x="7"/>
        <item t="default"/>
      </items>
    </pivotField>
    <pivotField axis="axisRow" showAll="0">
      <items count="5">
        <item x="1"/>
        <item x="2"/>
        <item x="0"/>
        <item x="3"/>
        <item t="default"/>
      </items>
    </pivotField>
    <pivotField showAll="0"/>
    <pivotField showAll="0"/>
    <pivotField dataField="1" showAll="0"/>
    <pivotField showAll="0"/>
    <pivotField dataField="1" showAll="0"/>
    <pivotField showAll="0">
      <items count="5">
        <item h="1" x="1"/>
        <item h="1" x="3"/>
        <item h="1" x="2"/>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Fields count="1">
    <field x="-2"/>
  </colFields>
  <colItems count="2">
    <i>
      <x/>
    </i>
    <i i="1">
      <x v="1"/>
    </i>
  </colItems>
  <dataFields count="2">
    <dataField name="Total_Sales sum" fld="8" baseField="3" baseItem="0"/>
    <dataField name="Sum of Quantity" fld="6" baseField="3" baseItem="0"/>
  </dataFields>
  <formats count="2">
    <format dxfId="3">
      <pivotArea collapsedLevelsAreSubtotals="1" fieldPosition="0">
        <references count="1">
          <reference field="3" count="0"/>
        </references>
      </pivotArea>
    </format>
    <format dxfId="2">
      <pivotArea field="3" grandRow="1" outline="0" collapsedLevelsAreSubtotals="1" axis="axisRow"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43D335-831D-4247-811B-56CECA558EB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month">
  <location ref="I2:J9" firstHeaderRow="1" firstDataRow="1" firstDataCol="1"/>
  <pivotFields count="12">
    <pivotField showAll="0"/>
    <pivotField numFmtId="164" showAll="0">
      <items count="79">
        <item x="77"/>
        <item x="27"/>
        <item x="65"/>
        <item x="58"/>
        <item x="36"/>
        <item x="5"/>
        <item x="66"/>
        <item x="9"/>
        <item x="62"/>
        <item x="22"/>
        <item x="53"/>
        <item x="7"/>
        <item x="44"/>
        <item x="76"/>
        <item x="56"/>
        <item x="46"/>
        <item x="13"/>
        <item x="18"/>
        <item x="16"/>
        <item x="35"/>
        <item x="72"/>
        <item x="42"/>
        <item x="59"/>
        <item x="10"/>
        <item x="47"/>
        <item x="64"/>
        <item x="74"/>
        <item x="40"/>
        <item x="61"/>
        <item x="30"/>
        <item x="43"/>
        <item x="37"/>
        <item x="29"/>
        <item x="41"/>
        <item x="51"/>
        <item x="31"/>
        <item x="26"/>
        <item x="75"/>
        <item x="28"/>
        <item x="1"/>
        <item x="14"/>
        <item x="50"/>
        <item x="17"/>
        <item x="12"/>
        <item x="63"/>
        <item x="70"/>
        <item x="2"/>
        <item x="71"/>
        <item x="0"/>
        <item x="52"/>
        <item x="67"/>
        <item x="34"/>
        <item x="55"/>
        <item x="68"/>
        <item x="48"/>
        <item x="8"/>
        <item x="3"/>
        <item x="23"/>
        <item x="11"/>
        <item x="33"/>
        <item x="19"/>
        <item x="15"/>
        <item x="21"/>
        <item x="54"/>
        <item x="25"/>
        <item x="73"/>
        <item x="45"/>
        <item x="20"/>
        <item x="57"/>
        <item x="24"/>
        <item x="69"/>
        <item x="49"/>
        <item x="6"/>
        <item x="4"/>
        <item x="39"/>
        <item x="60"/>
        <item x="38"/>
        <item x="32"/>
        <item t="default"/>
      </items>
    </pivotField>
    <pivotField showAll="0">
      <items count="9">
        <item h="1" x="4"/>
        <item x="6"/>
        <item x="1"/>
        <item x="3"/>
        <item x="2"/>
        <item x="0"/>
        <item x="5"/>
        <item x="7"/>
        <item t="default"/>
      </items>
    </pivotField>
    <pivotField showAll="0">
      <items count="5">
        <item x="1"/>
        <item x="2"/>
        <item x="0"/>
        <item x="3"/>
        <item t="default"/>
      </items>
    </pivotField>
    <pivotField showAll="0">
      <items count="6">
        <item x="4"/>
        <item x="0"/>
        <item x="1"/>
        <item x="3"/>
        <item x="2"/>
        <item t="default"/>
      </items>
    </pivotField>
    <pivotField showAll="0"/>
    <pivotField showAll="0"/>
    <pivotField showAll="0"/>
    <pivotField dataField="1" showAll="0"/>
    <pivotField showAll="0">
      <items count="5">
        <item h="1" x="1"/>
        <item h="1" x="3"/>
        <item h="1" x="2"/>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1"/>
  </rowFields>
  <rowItems count="7">
    <i>
      <x v="1"/>
    </i>
    <i>
      <x v="2"/>
    </i>
    <i>
      <x v="3"/>
    </i>
    <i>
      <x v="4"/>
    </i>
    <i>
      <x v="5"/>
    </i>
    <i>
      <x v="6"/>
    </i>
    <i t="grand">
      <x/>
    </i>
  </rowItems>
  <colItems count="1">
    <i/>
  </colItems>
  <dataFields count="1">
    <dataField name="Sum of Total_Sales" fld="8"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13F1B6-3085-41F0-93BD-5430D3A43E2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ustomer" colHeaderCaption="Product">
  <location ref="A26:B33" firstHeaderRow="1" firstDataRow="1" firstDataCol="1"/>
  <pivotFields count="12">
    <pivotField showAll="0"/>
    <pivotField numFmtId="164" showAll="0">
      <items count="79">
        <item x="77"/>
        <item x="27"/>
        <item x="65"/>
        <item x="58"/>
        <item x="36"/>
        <item x="5"/>
        <item x="66"/>
        <item x="9"/>
        <item x="62"/>
        <item x="22"/>
        <item x="53"/>
        <item x="7"/>
        <item x="44"/>
        <item x="76"/>
        <item x="56"/>
        <item x="46"/>
        <item x="13"/>
        <item x="18"/>
        <item x="16"/>
        <item x="35"/>
        <item x="72"/>
        <item x="42"/>
        <item x="59"/>
        <item x="10"/>
        <item x="47"/>
        <item x="64"/>
        <item x="74"/>
        <item x="40"/>
        <item x="61"/>
        <item x="30"/>
        <item x="43"/>
        <item x="37"/>
        <item x="29"/>
        <item x="41"/>
        <item x="51"/>
        <item x="31"/>
        <item x="26"/>
        <item x="75"/>
        <item x="28"/>
        <item x="1"/>
        <item x="14"/>
        <item x="50"/>
        <item x="17"/>
        <item x="12"/>
        <item x="63"/>
        <item x="70"/>
        <item x="2"/>
        <item x="71"/>
        <item x="0"/>
        <item x="52"/>
        <item x="67"/>
        <item x="34"/>
        <item x="55"/>
        <item x="68"/>
        <item x="48"/>
        <item x="8"/>
        <item x="3"/>
        <item x="23"/>
        <item x="11"/>
        <item x="33"/>
        <item x="19"/>
        <item x="15"/>
        <item x="21"/>
        <item x="54"/>
        <item x="25"/>
        <item x="73"/>
        <item x="45"/>
        <item x="20"/>
        <item x="57"/>
        <item x="24"/>
        <item x="69"/>
        <item x="49"/>
        <item x="6"/>
        <item x="4"/>
        <item x="39"/>
        <item x="60"/>
        <item x="38"/>
        <item x="32"/>
        <item t="default"/>
      </items>
    </pivotField>
    <pivotField axis="axisRow" showAll="0" sortType="descending">
      <items count="9">
        <item h="1" x="4"/>
        <item x="6"/>
        <item x="1"/>
        <item x="3"/>
        <item x="2"/>
        <item x="0"/>
        <item x="5"/>
        <item x="7"/>
        <item t="default"/>
      </items>
      <autoSortScope>
        <pivotArea dataOnly="0" outline="0" fieldPosition="0">
          <references count="1">
            <reference field="4294967294" count="1" selected="0">
              <x v="0"/>
            </reference>
          </references>
        </pivotArea>
      </autoSortScope>
    </pivotField>
    <pivotField showAll="0">
      <items count="5">
        <item x="1"/>
        <item x="2"/>
        <item x="0"/>
        <item x="3"/>
        <item t="default"/>
      </items>
    </pivotField>
    <pivotField showAll="0">
      <items count="6">
        <item x="4"/>
        <item x="0"/>
        <item x="1"/>
        <item x="3"/>
        <item x="2"/>
        <item t="default"/>
      </items>
    </pivotField>
    <pivotField showAll="0"/>
    <pivotField dataField="1" showAll="0"/>
    <pivotField showAll="0"/>
    <pivotField showAll="0"/>
    <pivotField showAll="0">
      <items count="5">
        <item h="1" x="1"/>
        <item h="1" x="3"/>
        <item h="1" x="2"/>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7">
    <i>
      <x v="6"/>
    </i>
    <i>
      <x v="4"/>
    </i>
    <i>
      <x v="7"/>
    </i>
    <i>
      <x v="3"/>
    </i>
    <i>
      <x v="1"/>
    </i>
    <i>
      <x v="5"/>
    </i>
    <i t="grand">
      <x/>
    </i>
  </rowItems>
  <colItems count="1">
    <i/>
  </colItems>
  <dataFields count="1">
    <dataField name="Sum of Quantity" fld="6"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9F31EE-F053-420A-B9D4-D353D5B375F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A12:C18" firstHeaderRow="0" firstDataRow="1" firstDataCol="1" rowPageCount="1" colPageCount="1"/>
  <pivotFields count="12">
    <pivotField showAll="0"/>
    <pivotField numFmtId="164" showAll="0">
      <items count="79">
        <item x="77"/>
        <item x="27"/>
        <item x="65"/>
        <item x="58"/>
        <item x="36"/>
        <item x="5"/>
        <item x="66"/>
        <item x="9"/>
        <item x="62"/>
        <item x="22"/>
        <item x="53"/>
        <item x="7"/>
        <item x="44"/>
        <item x="76"/>
        <item x="56"/>
        <item x="46"/>
        <item x="13"/>
        <item x="18"/>
        <item x="16"/>
        <item x="35"/>
        <item x="72"/>
        <item x="42"/>
        <item x="59"/>
        <item x="10"/>
        <item x="47"/>
        <item x="64"/>
        <item x="74"/>
        <item x="40"/>
        <item x="61"/>
        <item x="30"/>
        <item x="43"/>
        <item x="37"/>
        <item x="29"/>
        <item x="41"/>
        <item x="51"/>
        <item x="31"/>
        <item x="26"/>
        <item x="75"/>
        <item x="28"/>
        <item x="1"/>
        <item x="14"/>
        <item x="50"/>
        <item x="17"/>
        <item x="12"/>
        <item x="63"/>
        <item x="70"/>
        <item x="2"/>
        <item x="71"/>
        <item x="0"/>
        <item x="52"/>
        <item x="67"/>
        <item x="34"/>
        <item x="55"/>
        <item x="68"/>
        <item x="48"/>
        <item x="8"/>
        <item x="3"/>
        <item x="23"/>
        <item x="11"/>
        <item x="33"/>
        <item x="19"/>
        <item x="15"/>
        <item x="21"/>
        <item x="54"/>
        <item x="25"/>
        <item x="73"/>
        <item x="45"/>
        <item x="20"/>
        <item x="57"/>
        <item x="24"/>
        <item x="69"/>
        <item x="49"/>
        <item x="6"/>
        <item x="4"/>
        <item x="39"/>
        <item x="60"/>
        <item x="38"/>
        <item x="32"/>
        <item t="default"/>
      </items>
    </pivotField>
    <pivotField showAll="0">
      <items count="9">
        <item h="1" x="4"/>
        <item x="6"/>
        <item x="1"/>
        <item x="3"/>
        <item x="2"/>
        <item x="0"/>
        <item x="5"/>
        <item x="7"/>
        <item t="default"/>
      </items>
    </pivotField>
    <pivotField showAll="0">
      <items count="5">
        <item x="1"/>
        <item x="2"/>
        <item x="0"/>
        <item x="3"/>
        <item t="default"/>
      </items>
    </pivotField>
    <pivotField axis="axisRow" showAll="0" sortType="descending">
      <items count="6">
        <item x="4"/>
        <item x="0"/>
        <item x="1"/>
        <item x="3"/>
        <item x="2"/>
        <item t="default"/>
      </items>
      <autoSortScope>
        <pivotArea dataOnly="0" outline="0" fieldPosition="0">
          <references count="1">
            <reference field="4294967294" count="1" selected="0">
              <x v="1"/>
            </reference>
          </references>
        </pivotArea>
      </autoSortScope>
    </pivotField>
    <pivotField axis="axisPage" multipleItemSelectionAllowed="1" showAll="0">
      <items count="3">
        <item x="1"/>
        <item x="0"/>
        <item t="default"/>
      </items>
    </pivotField>
    <pivotField dataField="1" showAll="0"/>
    <pivotField showAll="0"/>
    <pivotField dataField="1" showAll="0"/>
    <pivotField showAll="0">
      <items count="5">
        <item h="1" x="1"/>
        <item h="1" x="3"/>
        <item h="1" x="2"/>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6">
    <i>
      <x v="4"/>
    </i>
    <i>
      <x/>
    </i>
    <i>
      <x v="1"/>
    </i>
    <i>
      <x v="3"/>
    </i>
    <i>
      <x v="2"/>
    </i>
    <i t="grand">
      <x/>
    </i>
  </rowItems>
  <colFields count="1">
    <field x="-2"/>
  </colFields>
  <colItems count="2">
    <i>
      <x/>
    </i>
    <i i="1">
      <x v="1"/>
    </i>
  </colItems>
  <pageFields count="1">
    <pageField fld="5" hier="-1"/>
  </pageFields>
  <dataFields count="2">
    <dataField name="Sum of Quantity" fld="6" baseField="4" baseItem="0"/>
    <dataField name=" Total_Sales by product" fld="8" baseField="4" baseItem="0"/>
  </dataFields>
  <formats count="1">
    <format dxfId="4">
      <pivotArea collapsedLevelsAreSubtotals="1" fieldPosition="0">
        <references count="2">
          <reference field="4294967294" count="1" selected="0">
            <x v="1"/>
          </reference>
          <reference field="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724AE92E-E959-42F8-A317-DA8282085918}" sourceName="Customer_Name">
  <pivotTables>
    <pivotTable tabId="4" name="PivotTable5"/>
    <pivotTable tabId="4" name="PivotTable1"/>
    <pivotTable tabId="4" name="PivotTable2"/>
    <pivotTable tabId="4" name="PivotTable3"/>
  </pivotTables>
  <data>
    <tabular pivotCacheId="496207388">
      <items count="8">
        <i x="4"/>
        <i x="6" s="1"/>
        <i x="3" s="1"/>
        <i x="2" s="1"/>
        <i x="0" s="1"/>
        <i x="5" s="1"/>
        <i x="7" s="1"/>
        <i x="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88CD0593-0861-41F6-978C-3DE692B2FBA4}" sourceName="Payment_Mode">
  <pivotTables>
    <pivotTable tabId="4" name="PivotTable5"/>
    <pivotTable tabId="4" name="PivotTable1"/>
    <pivotTable tabId="4" name="PivotTable2"/>
    <pivotTable tabId="4" name="PivotTable3"/>
  </pivotTables>
  <data>
    <tabular pivotCacheId="496207388">
      <items count="4">
        <i x="1"/>
        <i x="3"/>
        <i x="2"/>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Name" xr10:uid="{7A712F1E-0314-46E5-A47F-217F142DD18B}" cache="Slicer_Customer_Name" caption="Customer_Name" columnCount="2" rowHeight="234950"/>
  <slicer name="Payment_Mode" xr10:uid="{76C0B6B2-649B-495C-9008-18A059F8DEA4}" cache="Slicer_Payment_Mode" caption="Payment_Mode" startItem="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E3C3F9-3046-46FE-996D-CFE7BEE7889C}" name="Table1" displayName="Table1" ref="A5:J105" totalsRowShown="0">
  <autoFilter ref="A5:J105" xr:uid="{E9E3C3F9-3046-46FE-996D-CFE7BEE7889C}">
    <filterColumn colId="2">
      <filters>
        <filter val="Aarav"/>
      </filters>
    </filterColumn>
  </autoFilter>
  <tableColumns count="10">
    <tableColumn id="1" xr3:uid="{D097B66C-CB3E-47B9-9050-E7709390ED4F}" name="Order_ID"/>
    <tableColumn id="2" xr3:uid="{D20D493B-8FB7-4B72-9E80-6761B8A1CCE5}" name="Order_Date" dataDxfId="1"/>
    <tableColumn id="3" xr3:uid="{214E1AA2-9A48-4586-B64A-E44572D1D4E7}" name="Customer_Name"/>
    <tableColumn id="4" xr3:uid="{F4B80498-AD91-4202-A82F-486F072A16F1}" name="Region"/>
    <tableColumn id="5" xr3:uid="{3CCAF04D-B7A3-45F6-AB1E-2BF2AB19FA7F}" name="Product"/>
    <tableColumn id="6" xr3:uid="{769D9139-5B9A-4585-A4E3-3E857445DB75}" name="Category"/>
    <tableColumn id="7" xr3:uid="{93C4E0EA-23FD-43AE-A094-3EA5F4E1DA35}" name="Quantity"/>
    <tableColumn id="8" xr3:uid="{85984E80-C393-4455-83CC-F2C4C778E462}" name="Unit_Price"/>
    <tableColumn id="9" xr3:uid="{CBC512D0-3008-44F6-92D0-51BF2AB48404}" name="Total_Sales"/>
    <tableColumn id="10" xr3:uid="{8E19A8D8-0269-42B4-88FB-CC7E27011400}" name="Payment_Mod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D5C3FC1-31D1-41D1-A779-5CF17667FA37}" name="Table13" displayName="Table13" ref="A5:J105" totalsRowShown="0">
  <autoFilter ref="A5:J105" xr:uid="{E9E3C3F9-3046-46FE-996D-CFE7BEE7889C}"/>
  <tableColumns count="10">
    <tableColumn id="1" xr3:uid="{9C3FD442-47E2-4D1E-924E-B5EE6146EEF9}" name="Order_ID"/>
    <tableColumn id="2" xr3:uid="{8884C90C-26CC-4916-AE61-5F5356D4D20E}" name="Order_Date" dataDxfId="0"/>
    <tableColumn id="3" xr3:uid="{5700AE4E-22D4-4062-B215-0722B43AC977}" name="Customer_Name"/>
    <tableColumn id="4" xr3:uid="{36D3FE71-1D24-492B-A93E-A944F4F03041}" name="Region"/>
    <tableColumn id="5" xr3:uid="{302268CB-B27E-4F58-8EC8-1549645295E4}" name="Product"/>
    <tableColumn id="6" xr3:uid="{5A9D2B4F-35A3-41CC-BE69-608A205C0D18}" name="Category"/>
    <tableColumn id="7" xr3:uid="{A650B2F9-206D-4A35-B5BB-F94ED1CF53E5}" name="Quantity"/>
    <tableColumn id="8" xr3:uid="{CEBDA3C6-A920-4C26-8BFE-5333F3F730E5}" name="Unit_Price"/>
    <tableColumn id="9" xr3:uid="{2D0B7433-11C6-4566-85DC-57E027E12AAE}" name="Total_Sales"/>
    <tableColumn id="10" xr3:uid="{D7B84D72-6B41-485C-B25E-D7B73B1A3B7F}" name="Payment_Mod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5:J105"/>
  <sheetViews>
    <sheetView workbookViewId="0">
      <selection activeCell="C18" sqref="C18"/>
    </sheetView>
  </sheetViews>
  <sheetFormatPr defaultRowHeight="14.4" x14ac:dyDescent="0.3"/>
  <cols>
    <col min="1" max="1" width="10.44140625" customWidth="1"/>
    <col min="2" max="2" width="12.5546875" customWidth="1"/>
    <col min="3" max="3" width="17" customWidth="1"/>
    <col min="5" max="5" width="9.5546875" customWidth="1"/>
    <col min="6" max="6" width="10.44140625" customWidth="1"/>
    <col min="7" max="7" width="10.21875" customWidth="1"/>
    <col min="8" max="8" width="11.5546875" customWidth="1"/>
    <col min="9" max="9" width="12.33203125" customWidth="1"/>
    <col min="10" max="10" width="16.44140625" customWidth="1"/>
  </cols>
  <sheetData>
    <row r="5" spans="1:10" x14ac:dyDescent="0.3">
      <c r="A5" t="s">
        <v>0</v>
      </c>
      <c r="B5" t="s">
        <v>1</v>
      </c>
      <c r="C5" t="s">
        <v>2</v>
      </c>
      <c r="D5" t="s">
        <v>3</v>
      </c>
      <c r="E5" t="s">
        <v>4</v>
      </c>
      <c r="F5" t="s">
        <v>5</v>
      </c>
      <c r="G5" t="s">
        <v>6</v>
      </c>
      <c r="H5" t="s">
        <v>7</v>
      </c>
      <c r="I5" t="s">
        <v>8</v>
      </c>
      <c r="J5" t="s">
        <v>9</v>
      </c>
    </row>
    <row r="6" spans="1:10" hidden="1" x14ac:dyDescent="0.3">
      <c r="A6" t="s">
        <v>10</v>
      </c>
      <c r="B6" s="1">
        <v>45777</v>
      </c>
      <c r="C6" t="s">
        <v>11</v>
      </c>
      <c r="D6" t="s">
        <v>12</v>
      </c>
      <c r="E6" t="s">
        <v>13</v>
      </c>
      <c r="F6" t="s">
        <v>14</v>
      </c>
      <c r="G6">
        <v>3</v>
      </c>
      <c r="H6">
        <v>44856</v>
      </c>
      <c r="I6">
        <v>134568</v>
      </c>
      <c r="J6" t="s">
        <v>15</v>
      </c>
    </row>
    <row r="7" spans="1:10" hidden="1" x14ac:dyDescent="0.3">
      <c r="A7" t="s">
        <v>16</v>
      </c>
      <c r="B7" s="1">
        <v>45752</v>
      </c>
      <c r="C7" t="s">
        <v>11</v>
      </c>
      <c r="D7" t="s">
        <v>17</v>
      </c>
      <c r="E7" t="s">
        <v>13</v>
      </c>
      <c r="F7" t="s">
        <v>18</v>
      </c>
      <c r="G7">
        <v>5</v>
      </c>
      <c r="H7">
        <v>12332</v>
      </c>
      <c r="I7">
        <v>61660</v>
      </c>
      <c r="J7" t="s">
        <v>19</v>
      </c>
    </row>
    <row r="8" spans="1:10" hidden="1" x14ac:dyDescent="0.3">
      <c r="A8" t="s">
        <v>20</v>
      </c>
      <c r="B8" s="1">
        <v>45772</v>
      </c>
      <c r="C8" t="s">
        <v>21</v>
      </c>
      <c r="D8" t="s">
        <v>12</v>
      </c>
      <c r="E8" t="s">
        <v>22</v>
      </c>
      <c r="F8" t="s">
        <v>14</v>
      </c>
      <c r="G8">
        <v>2</v>
      </c>
      <c r="H8">
        <v>42847</v>
      </c>
      <c r="I8">
        <v>85694</v>
      </c>
      <c r="J8" t="s">
        <v>19</v>
      </c>
    </row>
    <row r="9" spans="1:10" hidden="1" x14ac:dyDescent="0.3">
      <c r="A9" t="s">
        <v>23</v>
      </c>
      <c r="B9" s="1">
        <v>45788</v>
      </c>
      <c r="C9" t="s">
        <v>24</v>
      </c>
      <c r="D9" t="s">
        <v>25</v>
      </c>
      <c r="E9" t="s">
        <v>22</v>
      </c>
      <c r="F9" t="s">
        <v>14</v>
      </c>
      <c r="G9">
        <v>1</v>
      </c>
      <c r="H9">
        <v>35731</v>
      </c>
      <c r="I9">
        <v>35731</v>
      </c>
      <c r="J9" t="s">
        <v>15</v>
      </c>
    </row>
    <row r="10" spans="1:10" hidden="1" x14ac:dyDescent="0.3">
      <c r="A10" t="s">
        <v>26</v>
      </c>
      <c r="B10" s="1">
        <v>45830</v>
      </c>
      <c r="C10" t="s">
        <v>11</v>
      </c>
      <c r="D10" t="s">
        <v>25</v>
      </c>
      <c r="E10" t="s">
        <v>27</v>
      </c>
      <c r="F10" t="s">
        <v>14</v>
      </c>
      <c r="G10">
        <v>1</v>
      </c>
      <c r="H10">
        <v>43475</v>
      </c>
      <c r="I10">
        <v>43475</v>
      </c>
      <c r="J10" t="s">
        <v>28</v>
      </c>
    </row>
    <row r="11" spans="1:10" hidden="1" x14ac:dyDescent="0.3">
      <c r="A11" t="s">
        <v>29</v>
      </c>
      <c r="B11" s="1">
        <v>45669</v>
      </c>
      <c r="C11" t="s">
        <v>21</v>
      </c>
      <c r="D11" t="s">
        <v>17</v>
      </c>
      <c r="E11" t="s">
        <v>30</v>
      </c>
      <c r="F11" t="s">
        <v>18</v>
      </c>
      <c r="G11">
        <v>2</v>
      </c>
      <c r="H11">
        <v>2624</v>
      </c>
      <c r="I11">
        <v>5248</v>
      </c>
      <c r="J11" t="s">
        <v>31</v>
      </c>
    </row>
    <row r="12" spans="1:10" hidden="1" x14ac:dyDescent="0.3">
      <c r="A12" t="s">
        <v>32</v>
      </c>
      <c r="B12" s="1">
        <v>45828</v>
      </c>
      <c r="C12" t="s">
        <v>24</v>
      </c>
      <c r="D12" t="s">
        <v>25</v>
      </c>
      <c r="E12" t="s">
        <v>22</v>
      </c>
      <c r="F12" t="s">
        <v>14</v>
      </c>
      <c r="G12">
        <v>2</v>
      </c>
      <c r="H12">
        <v>17348</v>
      </c>
      <c r="I12">
        <v>34696</v>
      </c>
      <c r="J12" t="s">
        <v>31</v>
      </c>
    </row>
    <row r="13" spans="1:10" hidden="1" x14ac:dyDescent="0.3">
      <c r="A13" t="s">
        <v>33</v>
      </c>
      <c r="B13" s="1">
        <v>45682</v>
      </c>
      <c r="C13" t="s">
        <v>11</v>
      </c>
      <c r="D13" t="s">
        <v>25</v>
      </c>
      <c r="E13" t="s">
        <v>13</v>
      </c>
      <c r="F13" t="s">
        <v>18</v>
      </c>
      <c r="G13">
        <v>5</v>
      </c>
      <c r="H13">
        <v>6996</v>
      </c>
      <c r="I13">
        <v>34980</v>
      </c>
      <c r="J13" t="s">
        <v>31</v>
      </c>
    </row>
    <row r="14" spans="1:10" hidden="1" x14ac:dyDescent="0.3">
      <c r="A14" t="s">
        <v>34</v>
      </c>
      <c r="B14" s="1">
        <v>45669</v>
      </c>
      <c r="C14" t="s">
        <v>24</v>
      </c>
      <c r="D14" t="s">
        <v>25</v>
      </c>
      <c r="E14" t="s">
        <v>22</v>
      </c>
      <c r="F14" t="s">
        <v>18</v>
      </c>
      <c r="G14">
        <v>1</v>
      </c>
      <c r="H14">
        <v>18386</v>
      </c>
      <c r="I14">
        <v>18386</v>
      </c>
      <c r="J14" t="s">
        <v>28</v>
      </c>
    </row>
    <row r="15" spans="1:10" hidden="1" x14ac:dyDescent="0.3">
      <c r="A15" t="s">
        <v>35</v>
      </c>
      <c r="B15" s="1">
        <v>45787</v>
      </c>
      <c r="C15" t="s">
        <v>21</v>
      </c>
      <c r="D15" t="s">
        <v>36</v>
      </c>
      <c r="E15" t="s">
        <v>30</v>
      </c>
      <c r="F15" t="s">
        <v>18</v>
      </c>
      <c r="G15">
        <v>4</v>
      </c>
      <c r="H15">
        <v>32867</v>
      </c>
      <c r="I15">
        <v>131468</v>
      </c>
      <c r="J15" t="s">
        <v>19</v>
      </c>
    </row>
    <row r="16" spans="1:10" hidden="1" x14ac:dyDescent="0.3">
      <c r="A16" t="s">
        <v>37</v>
      </c>
      <c r="B16" s="1">
        <v>45676</v>
      </c>
      <c r="C16" t="s">
        <v>24</v>
      </c>
      <c r="D16" t="s">
        <v>25</v>
      </c>
      <c r="E16" t="s">
        <v>27</v>
      </c>
      <c r="F16" t="s">
        <v>14</v>
      </c>
      <c r="G16">
        <v>2</v>
      </c>
      <c r="H16">
        <v>41604</v>
      </c>
      <c r="I16">
        <v>83208</v>
      </c>
      <c r="J16" t="s">
        <v>19</v>
      </c>
    </row>
    <row r="17" spans="1:10" hidden="1" x14ac:dyDescent="0.3">
      <c r="A17" t="s">
        <v>38</v>
      </c>
      <c r="B17" s="1">
        <v>45715</v>
      </c>
      <c r="C17" t="s">
        <v>39</v>
      </c>
      <c r="D17" t="s">
        <v>25</v>
      </c>
      <c r="E17" t="s">
        <v>30</v>
      </c>
      <c r="F17" t="s">
        <v>18</v>
      </c>
      <c r="G17">
        <v>2</v>
      </c>
      <c r="H17">
        <v>28140</v>
      </c>
      <c r="I17">
        <v>56280</v>
      </c>
      <c r="J17" t="s">
        <v>28</v>
      </c>
    </row>
    <row r="18" spans="1:10" x14ac:dyDescent="0.3">
      <c r="A18" t="s">
        <v>40</v>
      </c>
      <c r="B18" s="1">
        <v>45793</v>
      </c>
      <c r="C18" t="s">
        <v>41</v>
      </c>
      <c r="D18" t="s">
        <v>36</v>
      </c>
      <c r="E18" t="s">
        <v>22</v>
      </c>
      <c r="F18" t="s">
        <v>14</v>
      </c>
      <c r="G18">
        <v>4</v>
      </c>
      <c r="H18">
        <v>15048</v>
      </c>
      <c r="I18">
        <v>60192</v>
      </c>
      <c r="J18" t="s">
        <v>28</v>
      </c>
    </row>
    <row r="19" spans="1:10" hidden="1" x14ac:dyDescent="0.3">
      <c r="A19" t="s">
        <v>42</v>
      </c>
      <c r="B19" s="1">
        <v>45762</v>
      </c>
      <c r="C19" t="s">
        <v>21</v>
      </c>
      <c r="D19" t="s">
        <v>25</v>
      </c>
      <c r="E19" t="s">
        <v>43</v>
      </c>
      <c r="F19" t="s">
        <v>18</v>
      </c>
      <c r="G19">
        <v>5</v>
      </c>
      <c r="H19">
        <v>40969</v>
      </c>
      <c r="I19">
        <v>204845</v>
      </c>
      <c r="J19" t="s">
        <v>31</v>
      </c>
    </row>
    <row r="20" spans="1:10" hidden="1" x14ac:dyDescent="0.3">
      <c r="A20" t="s">
        <v>44</v>
      </c>
      <c r="B20" s="1">
        <v>45695</v>
      </c>
      <c r="C20" t="s">
        <v>24</v>
      </c>
      <c r="D20" t="s">
        <v>17</v>
      </c>
      <c r="E20" t="s">
        <v>43</v>
      </c>
      <c r="F20" t="s">
        <v>14</v>
      </c>
      <c r="G20">
        <v>2</v>
      </c>
      <c r="H20">
        <v>5951</v>
      </c>
      <c r="I20">
        <v>11902</v>
      </c>
      <c r="J20" t="s">
        <v>15</v>
      </c>
    </row>
    <row r="21" spans="1:10" x14ac:dyDescent="0.3">
      <c r="A21" t="s">
        <v>45</v>
      </c>
      <c r="B21" s="1">
        <v>45755</v>
      </c>
      <c r="C21" t="s">
        <v>41</v>
      </c>
      <c r="D21" t="s">
        <v>36</v>
      </c>
      <c r="E21" t="s">
        <v>13</v>
      </c>
      <c r="F21" t="s">
        <v>14</v>
      </c>
      <c r="G21">
        <v>1</v>
      </c>
      <c r="H21">
        <v>46134</v>
      </c>
      <c r="I21">
        <v>46134</v>
      </c>
      <c r="J21" t="s">
        <v>28</v>
      </c>
    </row>
    <row r="22" spans="1:10" hidden="1" x14ac:dyDescent="0.3">
      <c r="A22" t="s">
        <v>46</v>
      </c>
      <c r="B22" s="1">
        <v>45802</v>
      </c>
      <c r="C22" t="s">
        <v>39</v>
      </c>
      <c r="D22" t="s">
        <v>17</v>
      </c>
      <c r="E22" t="s">
        <v>27</v>
      </c>
      <c r="F22" t="s">
        <v>18</v>
      </c>
      <c r="G22">
        <v>3</v>
      </c>
      <c r="H22">
        <v>10514</v>
      </c>
      <c r="I22">
        <v>31542</v>
      </c>
      <c r="J22" t="s">
        <v>19</v>
      </c>
    </row>
    <row r="23" spans="1:10" hidden="1" x14ac:dyDescent="0.3">
      <c r="A23" t="s">
        <v>47</v>
      </c>
      <c r="B23" s="1">
        <v>45772</v>
      </c>
      <c r="C23" t="s">
        <v>48</v>
      </c>
      <c r="D23" t="s">
        <v>36</v>
      </c>
      <c r="E23" t="s">
        <v>27</v>
      </c>
      <c r="F23" t="s">
        <v>18</v>
      </c>
      <c r="G23">
        <v>5</v>
      </c>
      <c r="H23">
        <v>1758</v>
      </c>
      <c r="I23">
        <v>8790</v>
      </c>
      <c r="J23" t="s">
        <v>31</v>
      </c>
    </row>
    <row r="24" spans="1:10" hidden="1" x14ac:dyDescent="0.3">
      <c r="A24" t="s">
        <v>49</v>
      </c>
      <c r="B24" s="1">
        <v>45699</v>
      </c>
      <c r="C24" t="s">
        <v>50</v>
      </c>
      <c r="D24" t="s">
        <v>17</v>
      </c>
      <c r="E24" t="s">
        <v>30</v>
      </c>
      <c r="F24" t="s">
        <v>14</v>
      </c>
      <c r="G24">
        <v>2</v>
      </c>
      <c r="H24">
        <v>23022</v>
      </c>
      <c r="I24">
        <v>46044</v>
      </c>
      <c r="J24" t="s">
        <v>15</v>
      </c>
    </row>
    <row r="25" spans="1:10" hidden="1" x14ac:dyDescent="0.3">
      <c r="A25" t="s">
        <v>51</v>
      </c>
      <c r="B25" s="1">
        <v>45760</v>
      </c>
      <c r="C25" t="s">
        <v>48</v>
      </c>
      <c r="D25" t="s">
        <v>25</v>
      </c>
      <c r="E25" t="s">
        <v>43</v>
      </c>
      <c r="F25" t="s">
        <v>18</v>
      </c>
      <c r="G25">
        <v>2</v>
      </c>
      <c r="H25">
        <v>47356</v>
      </c>
      <c r="I25">
        <v>94712</v>
      </c>
      <c r="J25" t="s">
        <v>31</v>
      </c>
    </row>
    <row r="26" spans="1:10" x14ac:dyDescent="0.3">
      <c r="A26" t="s">
        <v>52</v>
      </c>
      <c r="B26" s="1">
        <v>45696</v>
      </c>
      <c r="C26" t="s">
        <v>41</v>
      </c>
      <c r="D26" t="s">
        <v>36</v>
      </c>
      <c r="E26" t="s">
        <v>43</v>
      </c>
      <c r="F26" t="s">
        <v>14</v>
      </c>
      <c r="G26">
        <v>5</v>
      </c>
      <c r="H26">
        <v>36693</v>
      </c>
      <c r="I26">
        <v>183465</v>
      </c>
      <c r="J26" t="s">
        <v>15</v>
      </c>
    </row>
    <row r="27" spans="1:10" hidden="1" x14ac:dyDescent="0.3">
      <c r="A27" t="s">
        <v>53</v>
      </c>
      <c r="B27" s="1">
        <v>45801</v>
      </c>
      <c r="C27" t="s">
        <v>50</v>
      </c>
      <c r="D27" t="s">
        <v>36</v>
      </c>
      <c r="E27" t="s">
        <v>43</v>
      </c>
      <c r="F27" t="s">
        <v>18</v>
      </c>
      <c r="G27">
        <v>1</v>
      </c>
      <c r="H27">
        <v>15647</v>
      </c>
      <c r="I27">
        <v>15647</v>
      </c>
      <c r="J27" t="s">
        <v>28</v>
      </c>
    </row>
    <row r="28" spans="1:10" hidden="1" x14ac:dyDescent="0.3">
      <c r="A28" t="s">
        <v>54</v>
      </c>
      <c r="B28" s="1">
        <v>45813</v>
      </c>
      <c r="C28" t="s">
        <v>24</v>
      </c>
      <c r="D28" t="s">
        <v>17</v>
      </c>
      <c r="E28" t="s">
        <v>30</v>
      </c>
      <c r="F28" t="s">
        <v>14</v>
      </c>
      <c r="G28">
        <v>1</v>
      </c>
      <c r="H28">
        <v>15240</v>
      </c>
      <c r="I28">
        <v>15240</v>
      </c>
      <c r="J28" t="s">
        <v>28</v>
      </c>
    </row>
    <row r="29" spans="1:10" hidden="1" x14ac:dyDescent="0.3">
      <c r="A29" t="s">
        <v>55</v>
      </c>
      <c r="B29" s="1">
        <v>45803</v>
      </c>
      <c r="C29" t="s">
        <v>21</v>
      </c>
      <c r="D29" t="s">
        <v>17</v>
      </c>
      <c r="E29" t="s">
        <v>43</v>
      </c>
      <c r="F29" t="s">
        <v>18</v>
      </c>
      <c r="G29">
        <v>5</v>
      </c>
      <c r="H29">
        <v>7265</v>
      </c>
      <c r="I29">
        <v>36325</v>
      </c>
      <c r="J29" t="s">
        <v>19</v>
      </c>
    </row>
    <row r="30" spans="1:10" hidden="1" x14ac:dyDescent="0.3">
      <c r="A30" t="s">
        <v>56</v>
      </c>
      <c r="B30" s="1">
        <v>45680</v>
      </c>
      <c r="C30" t="s">
        <v>21</v>
      </c>
      <c r="D30" t="s">
        <v>36</v>
      </c>
      <c r="E30" t="s">
        <v>30</v>
      </c>
      <c r="F30" t="s">
        <v>14</v>
      </c>
      <c r="G30">
        <v>4</v>
      </c>
      <c r="H30">
        <v>17464</v>
      </c>
      <c r="I30">
        <v>69856</v>
      </c>
      <c r="J30" t="s">
        <v>28</v>
      </c>
    </row>
    <row r="31" spans="1:10" hidden="1" x14ac:dyDescent="0.3">
      <c r="A31" t="s">
        <v>57</v>
      </c>
      <c r="B31" s="1">
        <v>45699</v>
      </c>
      <c r="C31" t="s">
        <v>50</v>
      </c>
      <c r="D31" t="s">
        <v>36</v>
      </c>
      <c r="E31" t="s">
        <v>13</v>
      </c>
      <c r="F31" t="s">
        <v>18</v>
      </c>
      <c r="G31">
        <v>4</v>
      </c>
      <c r="H31">
        <v>19223</v>
      </c>
      <c r="I31">
        <v>76892</v>
      </c>
      <c r="J31" t="s">
        <v>31</v>
      </c>
    </row>
    <row r="32" spans="1:10" hidden="1" x14ac:dyDescent="0.3">
      <c r="A32" t="s">
        <v>58</v>
      </c>
      <c r="B32" s="1">
        <v>45791</v>
      </c>
      <c r="C32" t="s">
        <v>39</v>
      </c>
      <c r="D32" t="s">
        <v>25</v>
      </c>
      <c r="E32" t="s">
        <v>13</v>
      </c>
      <c r="F32" t="s">
        <v>18</v>
      </c>
      <c r="G32">
        <v>4</v>
      </c>
      <c r="H32">
        <v>49908</v>
      </c>
      <c r="I32">
        <v>199632</v>
      </c>
      <c r="J32" t="s">
        <v>28</v>
      </c>
    </row>
    <row r="33" spans="1:10" hidden="1" x14ac:dyDescent="0.3">
      <c r="A33" t="s">
        <v>59</v>
      </c>
      <c r="B33" s="1">
        <v>45822</v>
      </c>
      <c r="C33" t="s">
        <v>21</v>
      </c>
      <c r="D33" t="s">
        <v>17</v>
      </c>
      <c r="E33" t="s">
        <v>43</v>
      </c>
      <c r="F33" t="s">
        <v>18</v>
      </c>
      <c r="G33">
        <v>3</v>
      </c>
      <c r="H33">
        <v>6875</v>
      </c>
      <c r="I33">
        <v>20625</v>
      </c>
      <c r="J33" t="s">
        <v>31</v>
      </c>
    </row>
    <row r="34" spans="1:10" hidden="1" x14ac:dyDescent="0.3">
      <c r="A34" t="s">
        <v>60</v>
      </c>
      <c r="B34" s="1">
        <v>45807</v>
      </c>
      <c r="C34" t="s">
        <v>61</v>
      </c>
      <c r="D34" t="s">
        <v>17</v>
      </c>
      <c r="E34" t="s">
        <v>30</v>
      </c>
      <c r="F34" t="s">
        <v>18</v>
      </c>
      <c r="G34">
        <v>4</v>
      </c>
      <c r="H34">
        <v>47797</v>
      </c>
      <c r="I34">
        <v>191188</v>
      </c>
      <c r="J34" t="s">
        <v>28</v>
      </c>
    </row>
    <row r="35" spans="1:10" hidden="1" x14ac:dyDescent="0.3">
      <c r="A35" t="s">
        <v>62</v>
      </c>
      <c r="B35" s="1">
        <v>45746</v>
      </c>
      <c r="C35" t="s">
        <v>11</v>
      </c>
      <c r="D35" t="s">
        <v>17</v>
      </c>
      <c r="E35" t="s">
        <v>22</v>
      </c>
      <c r="F35" t="s">
        <v>18</v>
      </c>
      <c r="G35">
        <v>3</v>
      </c>
      <c r="H35">
        <v>39871</v>
      </c>
      <c r="I35">
        <v>119613</v>
      </c>
      <c r="J35" t="s">
        <v>19</v>
      </c>
    </row>
    <row r="36" spans="1:10" hidden="1" x14ac:dyDescent="0.3">
      <c r="A36" t="s">
        <v>63</v>
      </c>
      <c r="B36" s="1">
        <v>45660</v>
      </c>
      <c r="C36" t="s">
        <v>50</v>
      </c>
      <c r="D36" t="s">
        <v>12</v>
      </c>
      <c r="E36" t="s">
        <v>30</v>
      </c>
      <c r="F36" t="s">
        <v>18</v>
      </c>
      <c r="G36">
        <v>3</v>
      </c>
      <c r="H36">
        <v>24478</v>
      </c>
      <c r="I36">
        <v>73434</v>
      </c>
      <c r="J36" t="s">
        <v>19</v>
      </c>
    </row>
    <row r="37" spans="1:10" hidden="1" x14ac:dyDescent="0.3">
      <c r="A37" t="s">
        <v>64</v>
      </c>
      <c r="B37" s="1">
        <v>45751</v>
      </c>
      <c r="C37" t="s">
        <v>50</v>
      </c>
      <c r="D37" t="s">
        <v>25</v>
      </c>
      <c r="E37" t="s">
        <v>30</v>
      </c>
      <c r="F37" t="s">
        <v>18</v>
      </c>
      <c r="G37">
        <v>4</v>
      </c>
      <c r="H37">
        <v>5165</v>
      </c>
      <c r="I37">
        <v>20660</v>
      </c>
      <c r="J37" t="s">
        <v>28</v>
      </c>
    </row>
    <row r="38" spans="1:10" hidden="1" x14ac:dyDescent="0.3">
      <c r="A38" t="s">
        <v>65</v>
      </c>
      <c r="B38" s="1">
        <v>45669</v>
      </c>
      <c r="C38" t="s">
        <v>61</v>
      </c>
      <c r="D38" t="s">
        <v>25</v>
      </c>
      <c r="E38" t="s">
        <v>43</v>
      </c>
      <c r="F38" t="s">
        <v>14</v>
      </c>
      <c r="G38">
        <v>4</v>
      </c>
      <c r="H38">
        <v>35036</v>
      </c>
      <c r="I38">
        <v>140144</v>
      </c>
      <c r="J38" t="s">
        <v>19</v>
      </c>
    </row>
    <row r="39" spans="1:10" hidden="1" x14ac:dyDescent="0.3">
      <c r="A39" t="s">
        <v>66</v>
      </c>
      <c r="B39" s="1">
        <v>45739</v>
      </c>
      <c r="C39" t="s">
        <v>48</v>
      </c>
      <c r="D39" t="s">
        <v>17</v>
      </c>
      <c r="E39" t="s">
        <v>22</v>
      </c>
      <c r="F39" t="s">
        <v>14</v>
      </c>
      <c r="G39">
        <v>2</v>
      </c>
      <c r="H39">
        <v>47915</v>
      </c>
      <c r="I39">
        <v>95830</v>
      </c>
      <c r="J39" t="s">
        <v>28</v>
      </c>
    </row>
    <row r="40" spans="1:10" hidden="1" x14ac:dyDescent="0.3">
      <c r="A40" t="s">
        <v>67</v>
      </c>
      <c r="B40" s="1">
        <v>45733</v>
      </c>
      <c r="C40" t="s">
        <v>61</v>
      </c>
      <c r="D40" t="s">
        <v>36</v>
      </c>
      <c r="E40" t="s">
        <v>13</v>
      </c>
      <c r="F40" t="s">
        <v>18</v>
      </c>
      <c r="G40">
        <v>1</v>
      </c>
      <c r="H40">
        <v>17647</v>
      </c>
      <c r="I40">
        <v>17647</v>
      </c>
      <c r="J40" t="s">
        <v>31</v>
      </c>
    </row>
    <row r="41" spans="1:10" hidden="1" x14ac:dyDescent="0.3">
      <c r="A41" t="s">
        <v>68</v>
      </c>
      <c r="B41" s="1">
        <v>45743</v>
      </c>
      <c r="C41" t="s">
        <v>61</v>
      </c>
      <c r="D41" t="s">
        <v>17</v>
      </c>
      <c r="E41" t="s">
        <v>13</v>
      </c>
      <c r="F41" t="s">
        <v>14</v>
      </c>
      <c r="G41">
        <v>4</v>
      </c>
      <c r="H41">
        <v>7173</v>
      </c>
      <c r="I41">
        <v>28692</v>
      </c>
      <c r="J41" t="s">
        <v>15</v>
      </c>
    </row>
    <row r="42" spans="1:10" hidden="1" x14ac:dyDescent="0.3">
      <c r="A42" t="s">
        <v>69</v>
      </c>
      <c r="B42" s="1">
        <v>45838</v>
      </c>
      <c r="C42" t="s">
        <v>61</v>
      </c>
      <c r="D42" t="s">
        <v>25</v>
      </c>
      <c r="E42" t="s">
        <v>22</v>
      </c>
      <c r="F42" t="s">
        <v>18</v>
      </c>
      <c r="G42">
        <v>1</v>
      </c>
      <c r="H42">
        <v>29645</v>
      </c>
      <c r="I42">
        <v>29645</v>
      </c>
      <c r="J42" t="s">
        <v>19</v>
      </c>
    </row>
    <row r="43" spans="1:10" x14ac:dyDescent="0.3">
      <c r="A43" t="s">
        <v>70</v>
      </c>
      <c r="B43" s="1">
        <v>45794</v>
      </c>
      <c r="C43" t="s">
        <v>41</v>
      </c>
      <c r="D43" t="s">
        <v>17</v>
      </c>
      <c r="E43" t="s">
        <v>27</v>
      </c>
      <c r="F43" t="s">
        <v>18</v>
      </c>
      <c r="G43">
        <v>5</v>
      </c>
      <c r="H43">
        <v>25779</v>
      </c>
      <c r="I43">
        <v>128895</v>
      </c>
      <c r="J43" t="s">
        <v>15</v>
      </c>
    </row>
    <row r="44" spans="1:10" hidden="1" x14ac:dyDescent="0.3">
      <c r="A44" t="s">
        <v>71</v>
      </c>
      <c r="B44" s="1">
        <v>45660</v>
      </c>
      <c r="C44" t="s">
        <v>61</v>
      </c>
      <c r="D44" t="s">
        <v>12</v>
      </c>
      <c r="E44" t="s">
        <v>43</v>
      </c>
      <c r="F44" t="s">
        <v>14</v>
      </c>
      <c r="G44">
        <v>2</v>
      </c>
      <c r="H44">
        <v>48495</v>
      </c>
      <c r="I44">
        <v>96990</v>
      </c>
      <c r="J44" t="s">
        <v>28</v>
      </c>
    </row>
    <row r="45" spans="1:10" hidden="1" x14ac:dyDescent="0.3">
      <c r="A45" t="s">
        <v>72</v>
      </c>
      <c r="B45" s="1">
        <v>45783</v>
      </c>
      <c r="C45" t="s">
        <v>24</v>
      </c>
      <c r="D45" t="s">
        <v>17</v>
      </c>
      <c r="E45" t="s">
        <v>43</v>
      </c>
      <c r="F45" t="s">
        <v>14</v>
      </c>
      <c r="G45">
        <v>4</v>
      </c>
      <c r="H45">
        <v>26949</v>
      </c>
      <c r="I45">
        <v>107796</v>
      </c>
      <c r="J45" t="s">
        <v>28</v>
      </c>
    </row>
    <row r="46" spans="1:10" hidden="1" x14ac:dyDescent="0.3">
      <c r="A46" t="s">
        <v>73</v>
      </c>
      <c r="B46" s="1">
        <v>45703</v>
      </c>
      <c r="C46" t="s">
        <v>39</v>
      </c>
      <c r="D46" t="s">
        <v>17</v>
      </c>
      <c r="E46" t="s">
        <v>22</v>
      </c>
      <c r="F46" t="s">
        <v>18</v>
      </c>
      <c r="G46">
        <v>2</v>
      </c>
      <c r="H46">
        <v>40792</v>
      </c>
      <c r="I46">
        <v>81584</v>
      </c>
      <c r="J46" t="s">
        <v>28</v>
      </c>
    </row>
    <row r="47" spans="1:10" hidden="1" x14ac:dyDescent="0.3">
      <c r="A47" t="s">
        <v>74</v>
      </c>
      <c r="B47" s="1">
        <v>45668</v>
      </c>
      <c r="C47" t="s">
        <v>48</v>
      </c>
      <c r="D47" t="s">
        <v>36</v>
      </c>
      <c r="E47" t="s">
        <v>43</v>
      </c>
      <c r="F47" t="s">
        <v>14</v>
      </c>
      <c r="G47">
        <v>4</v>
      </c>
      <c r="H47">
        <v>46231</v>
      </c>
      <c r="I47">
        <v>184924</v>
      </c>
      <c r="J47" t="s">
        <v>15</v>
      </c>
    </row>
    <row r="48" spans="1:10" hidden="1" x14ac:dyDescent="0.3">
      <c r="A48" t="s">
        <v>75</v>
      </c>
      <c r="B48" s="1">
        <v>45737</v>
      </c>
      <c r="C48" t="s">
        <v>48</v>
      </c>
      <c r="D48" t="s">
        <v>12</v>
      </c>
      <c r="E48" t="s">
        <v>13</v>
      </c>
      <c r="F48" t="s">
        <v>14</v>
      </c>
      <c r="G48">
        <v>5</v>
      </c>
      <c r="H48">
        <v>25819</v>
      </c>
      <c r="I48">
        <v>129095</v>
      </c>
      <c r="J48" t="s">
        <v>15</v>
      </c>
    </row>
    <row r="49" spans="1:10" hidden="1" x14ac:dyDescent="0.3">
      <c r="A49" t="s">
        <v>76</v>
      </c>
      <c r="B49" s="1">
        <v>45835</v>
      </c>
      <c r="C49" t="s">
        <v>50</v>
      </c>
      <c r="D49" t="s">
        <v>12</v>
      </c>
      <c r="E49" t="s">
        <v>22</v>
      </c>
      <c r="F49" t="s">
        <v>18</v>
      </c>
      <c r="G49">
        <v>3</v>
      </c>
      <c r="H49">
        <v>15942</v>
      </c>
      <c r="I49">
        <v>47826</v>
      </c>
      <c r="J49" t="s">
        <v>19</v>
      </c>
    </row>
    <row r="50" spans="1:10" hidden="1" x14ac:dyDescent="0.3">
      <c r="A50" t="s">
        <v>77</v>
      </c>
      <c r="B50" s="1">
        <v>45733</v>
      </c>
      <c r="C50" t="s">
        <v>24</v>
      </c>
      <c r="D50" t="s">
        <v>25</v>
      </c>
      <c r="E50" t="s">
        <v>27</v>
      </c>
      <c r="F50" t="s">
        <v>14</v>
      </c>
      <c r="G50">
        <v>4</v>
      </c>
      <c r="H50">
        <v>21476</v>
      </c>
      <c r="I50">
        <v>85904</v>
      </c>
      <c r="J50" t="s">
        <v>15</v>
      </c>
    </row>
    <row r="51" spans="1:10" hidden="1" x14ac:dyDescent="0.3">
      <c r="A51" t="s">
        <v>78</v>
      </c>
      <c r="B51" s="1">
        <v>45831</v>
      </c>
      <c r="C51" t="s">
        <v>24</v>
      </c>
      <c r="D51" t="s">
        <v>17</v>
      </c>
      <c r="E51" t="s">
        <v>43</v>
      </c>
      <c r="F51" t="s">
        <v>18</v>
      </c>
      <c r="G51">
        <v>5</v>
      </c>
      <c r="H51">
        <v>43342</v>
      </c>
      <c r="I51">
        <v>216710</v>
      </c>
      <c r="J51" t="s">
        <v>15</v>
      </c>
    </row>
    <row r="52" spans="1:10" hidden="1" x14ac:dyDescent="0.3">
      <c r="A52" t="s">
        <v>79</v>
      </c>
      <c r="B52" s="1">
        <v>45725</v>
      </c>
      <c r="C52" t="s">
        <v>48</v>
      </c>
      <c r="D52" t="s">
        <v>12</v>
      </c>
      <c r="E52" t="s">
        <v>30</v>
      </c>
      <c r="F52" t="s">
        <v>18</v>
      </c>
      <c r="G52">
        <v>1</v>
      </c>
      <c r="H52">
        <v>44591</v>
      </c>
      <c r="I52">
        <v>44591</v>
      </c>
      <c r="J52" t="s">
        <v>19</v>
      </c>
    </row>
    <row r="53" spans="1:10" hidden="1" x14ac:dyDescent="0.3">
      <c r="A53" t="s">
        <v>80</v>
      </c>
      <c r="B53" s="1">
        <v>45743</v>
      </c>
      <c r="C53" t="s">
        <v>48</v>
      </c>
      <c r="D53" t="s">
        <v>25</v>
      </c>
      <c r="E53" t="s">
        <v>13</v>
      </c>
      <c r="F53" t="s">
        <v>14</v>
      </c>
      <c r="G53">
        <v>5</v>
      </c>
      <c r="H53">
        <v>22833</v>
      </c>
      <c r="I53">
        <v>114165</v>
      </c>
      <c r="J53" t="s">
        <v>19</v>
      </c>
    </row>
    <row r="54" spans="1:10" x14ac:dyDescent="0.3">
      <c r="A54" t="s">
        <v>81</v>
      </c>
      <c r="B54" s="1">
        <v>45741</v>
      </c>
      <c r="C54" t="s">
        <v>41</v>
      </c>
      <c r="D54" t="s">
        <v>12</v>
      </c>
      <c r="E54" t="s">
        <v>22</v>
      </c>
      <c r="F54" t="s">
        <v>18</v>
      </c>
      <c r="G54">
        <v>2</v>
      </c>
      <c r="H54">
        <v>33357</v>
      </c>
      <c r="I54">
        <v>66714</v>
      </c>
      <c r="J54" t="s">
        <v>15</v>
      </c>
    </row>
    <row r="55" spans="1:10" hidden="1" x14ac:dyDescent="0.3">
      <c r="A55" t="s">
        <v>82</v>
      </c>
      <c r="B55" s="1">
        <v>45706</v>
      </c>
      <c r="C55" t="s">
        <v>39</v>
      </c>
      <c r="D55" t="s">
        <v>36</v>
      </c>
      <c r="E55" t="s">
        <v>13</v>
      </c>
      <c r="F55" t="s">
        <v>18</v>
      </c>
      <c r="G55">
        <v>2</v>
      </c>
      <c r="H55">
        <v>20149</v>
      </c>
      <c r="I55">
        <v>40298</v>
      </c>
      <c r="J55" t="s">
        <v>19</v>
      </c>
    </row>
    <row r="56" spans="1:10" hidden="1" x14ac:dyDescent="0.3">
      <c r="A56" t="s">
        <v>83</v>
      </c>
      <c r="B56" s="1">
        <v>45734</v>
      </c>
      <c r="C56" t="s">
        <v>61</v>
      </c>
      <c r="D56" t="s">
        <v>17</v>
      </c>
      <c r="E56" t="s">
        <v>30</v>
      </c>
      <c r="F56" t="s">
        <v>18</v>
      </c>
      <c r="G56">
        <v>1</v>
      </c>
      <c r="H56">
        <v>35715</v>
      </c>
      <c r="I56">
        <v>35715</v>
      </c>
      <c r="J56" t="s">
        <v>31</v>
      </c>
    </row>
    <row r="57" spans="1:10" hidden="1" x14ac:dyDescent="0.3">
      <c r="A57" t="s">
        <v>84</v>
      </c>
      <c r="B57" s="1">
        <v>45706</v>
      </c>
      <c r="C57" t="s">
        <v>39</v>
      </c>
      <c r="D57" t="s">
        <v>25</v>
      </c>
      <c r="E57" t="s">
        <v>27</v>
      </c>
      <c r="F57" t="s">
        <v>18</v>
      </c>
      <c r="G57">
        <v>2</v>
      </c>
      <c r="H57">
        <v>5270</v>
      </c>
      <c r="I57">
        <v>10540</v>
      </c>
      <c r="J57" t="s">
        <v>19</v>
      </c>
    </row>
    <row r="58" spans="1:10" x14ac:dyDescent="0.3">
      <c r="A58" t="s">
        <v>85</v>
      </c>
      <c r="B58" s="1">
        <v>45683</v>
      </c>
      <c r="C58" t="s">
        <v>41</v>
      </c>
      <c r="D58" t="s">
        <v>12</v>
      </c>
      <c r="E58" t="s">
        <v>22</v>
      </c>
      <c r="F58" t="s">
        <v>14</v>
      </c>
      <c r="G58">
        <v>4</v>
      </c>
      <c r="H58">
        <v>42784</v>
      </c>
      <c r="I58">
        <v>171136</v>
      </c>
      <c r="J58" t="s">
        <v>28</v>
      </c>
    </row>
    <row r="59" spans="1:10" hidden="1" x14ac:dyDescent="0.3">
      <c r="A59" t="s">
        <v>86</v>
      </c>
      <c r="B59" s="1">
        <v>45812</v>
      </c>
      <c r="C59" t="s">
        <v>21</v>
      </c>
      <c r="D59" t="s">
        <v>36</v>
      </c>
      <c r="E59" t="s">
        <v>27</v>
      </c>
      <c r="F59" t="s">
        <v>18</v>
      </c>
      <c r="G59">
        <v>1</v>
      </c>
      <c r="H59">
        <v>37891</v>
      </c>
      <c r="I59">
        <v>37891</v>
      </c>
      <c r="J59" t="s">
        <v>19</v>
      </c>
    </row>
    <row r="60" spans="1:10" hidden="1" x14ac:dyDescent="0.3">
      <c r="A60" t="s">
        <v>87</v>
      </c>
      <c r="B60" s="1">
        <v>45691</v>
      </c>
      <c r="C60" t="s">
        <v>50</v>
      </c>
      <c r="D60" t="s">
        <v>12</v>
      </c>
      <c r="E60" t="s">
        <v>13</v>
      </c>
      <c r="F60" t="s">
        <v>18</v>
      </c>
      <c r="G60">
        <v>1</v>
      </c>
      <c r="H60">
        <v>6267</v>
      </c>
      <c r="I60">
        <v>6267</v>
      </c>
      <c r="J60" t="s">
        <v>28</v>
      </c>
    </row>
    <row r="61" spans="1:10" hidden="1" x14ac:dyDescent="0.3">
      <c r="A61" t="s">
        <v>88</v>
      </c>
      <c r="B61" s="1">
        <v>45717</v>
      </c>
      <c r="C61" t="s">
        <v>11</v>
      </c>
      <c r="D61" t="s">
        <v>17</v>
      </c>
      <c r="E61" t="s">
        <v>30</v>
      </c>
      <c r="F61" t="s">
        <v>14</v>
      </c>
      <c r="G61">
        <v>5</v>
      </c>
      <c r="H61">
        <v>48886</v>
      </c>
      <c r="I61">
        <v>244430</v>
      </c>
      <c r="J61" t="s">
        <v>15</v>
      </c>
    </row>
    <row r="62" spans="1:10" hidden="1" x14ac:dyDescent="0.3">
      <c r="A62" t="s">
        <v>89</v>
      </c>
      <c r="B62" s="1">
        <v>45786</v>
      </c>
      <c r="C62" t="s">
        <v>61</v>
      </c>
      <c r="D62" t="s">
        <v>12</v>
      </c>
      <c r="E62" t="s">
        <v>22</v>
      </c>
      <c r="F62" t="s">
        <v>14</v>
      </c>
      <c r="G62">
        <v>2</v>
      </c>
      <c r="H62">
        <v>24781</v>
      </c>
      <c r="I62">
        <v>49562</v>
      </c>
      <c r="J62" t="s">
        <v>15</v>
      </c>
    </row>
    <row r="63" spans="1:10" hidden="1" x14ac:dyDescent="0.3">
      <c r="A63" t="s">
        <v>90</v>
      </c>
      <c r="B63" s="1">
        <v>45755</v>
      </c>
      <c r="C63" t="s">
        <v>50</v>
      </c>
      <c r="D63" t="s">
        <v>36</v>
      </c>
      <c r="E63" t="s">
        <v>27</v>
      </c>
      <c r="F63" t="s">
        <v>14</v>
      </c>
      <c r="G63">
        <v>4</v>
      </c>
      <c r="H63">
        <v>2104</v>
      </c>
      <c r="I63">
        <v>8416</v>
      </c>
      <c r="J63" t="s">
        <v>28</v>
      </c>
    </row>
    <row r="64" spans="1:10" x14ac:dyDescent="0.3">
      <c r="A64" t="s">
        <v>91</v>
      </c>
      <c r="B64" s="1">
        <v>45826</v>
      </c>
      <c r="C64" t="s">
        <v>41</v>
      </c>
      <c r="D64" t="s">
        <v>17</v>
      </c>
      <c r="E64" t="s">
        <v>30</v>
      </c>
      <c r="F64" t="s">
        <v>14</v>
      </c>
      <c r="G64">
        <v>3</v>
      </c>
      <c r="H64">
        <v>13507</v>
      </c>
      <c r="I64">
        <v>40521</v>
      </c>
      <c r="J64" t="s">
        <v>15</v>
      </c>
    </row>
    <row r="65" spans="1:10" hidden="1" x14ac:dyDescent="0.3">
      <c r="A65" t="s">
        <v>92</v>
      </c>
      <c r="B65" s="1">
        <v>45758</v>
      </c>
      <c r="C65" t="s">
        <v>50</v>
      </c>
      <c r="D65" t="s">
        <v>25</v>
      </c>
      <c r="E65" t="s">
        <v>27</v>
      </c>
      <c r="F65" t="s">
        <v>14</v>
      </c>
      <c r="G65">
        <v>4</v>
      </c>
      <c r="H65">
        <v>38003</v>
      </c>
      <c r="I65">
        <v>152012</v>
      </c>
      <c r="J65" t="s">
        <v>31</v>
      </c>
    </row>
    <row r="66" spans="1:10" x14ac:dyDescent="0.3">
      <c r="A66" t="s">
        <v>93</v>
      </c>
      <c r="B66" s="1">
        <v>45742</v>
      </c>
      <c r="C66" t="s">
        <v>41</v>
      </c>
      <c r="D66" t="s">
        <v>17</v>
      </c>
      <c r="E66" t="s">
        <v>13</v>
      </c>
      <c r="F66" t="s">
        <v>18</v>
      </c>
      <c r="G66">
        <v>4</v>
      </c>
      <c r="H66">
        <v>3137</v>
      </c>
      <c r="I66">
        <v>12548</v>
      </c>
      <c r="J66" t="s">
        <v>31</v>
      </c>
    </row>
    <row r="67" spans="1:10" hidden="1" x14ac:dyDescent="0.3">
      <c r="A67" t="s">
        <v>94</v>
      </c>
      <c r="B67" s="1">
        <v>45780</v>
      </c>
      <c r="C67" t="s">
        <v>39</v>
      </c>
      <c r="D67" t="s">
        <v>36</v>
      </c>
      <c r="E67" t="s">
        <v>27</v>
      </c>
      <c r="F67" t="s">
        <v>18</v>
      </c>
      <c r="G67">
        <v>1</v>
      </c>
      <c r="H67">
        <v>43239</v>
      </c>
      <c r="I67">
        <v>43239</v>
      </c>
      <c r="J67" t="s">
        <v>15</v>
      </c>
    </row>
    <row r="68" spans="1:10" x14ac:dyDescent="0.3">
      <c r="A68" t="s">
        <v>95</v>
      </c>
      <c r="B68" s="1">
        <v>45681</v>
      </c>
      <c r="C68" t="s">
        <v>41</v>
      </c>
      <c r="D68" t="s">
        <v>17</v>
      </c>
      <c r="E68" t="s">
        <v>13</v>
      </c>
      <c r="F68" t="s">
        <v>18</v>
      </c>
      <c r="G68">
        <v>4</v>
      </c>
      <c r="H68">
        <v>42175</v>
      </c>
      <c r="I68">
        <v>168700</v>
      </c>
      <c r="J68" t="s">
        <v>28</v>
      </c>
    </row>
    <row r="69" spans="1:10" hidden="1" x14ac:dyDescent="0.3">
      <c r="A69" t="s">
        <v>96</v>
      </c>
      <c r="B69" s="1">
        <v>45806</v>
      </c>
      <c r="C69" t="s">
        <v>24</v>
      </c>
      <c r="D69" t="s">
        <v>25</v>
      </c>
      <c r="E69" t="s">
        <v>22</v>
      </c>
      <c r="F69" t="s">
        <v>18</v>
      </c>
      <c r="G69">
        <v>5</v>
      </c>
      <c r="H69">
        <v>2513</v>
      </c>
      <c r="I69">
        <v>12565</v>
      </c>
      <c r="J69" t="s">
        <v>28</v>
      </c>
    </row>
    <row r="70" spans="1:10" hidden="1" x14ac:dyDescent="0.3">
      <c r="A70" t="s">
        <v>97</v>
      </c>
      <c r="B70" s="1">
        <v>45784</v>
      </c>
      <c r="C70" t="s">
        <v>50</v>
      </c>
      <c r="D70" t="s">
        <v>36</v>
      </c>
      <c r="E70" t="s">
        <v>27</v>
      </c>
      <c r="F70" t="s">
        <v>18</v>
      </c>
      <c r="G70">
        <v>4</v>
      </c>
      <c r="H70">
        <v>34655</v>
      </c>
      <c r="I70">
        <v>138620</v>
      </c>
      <c r="J70" t="s">
        <v>15</v>
      </c>
    </row>
    <row r="71" spans="1:10" hidden="1" x14ac:dyDescent="0.3">
      <c r="A71" t="s">
        <v>98</v>
      </c>
      <c r="B71" s="1">
        <v>45688</v>
      </c>
      <c r="C71" t="s">
        <v>48</v>
      </c>
      <c r="D71" t="s">
        <v>12</v>
      </c>
      <c r="E71" t="s">
        <v>22</v>
      </c>
      <c r="F71" t="s">
        <v>14</v>
      </c>
      <c r="G71">
        <v>5</v>
      </c>
      <c r="H71">
        <v>46068</v>
      </c>
      <c r="I71">
        <v>230340</v>
      </c>
      <c r="J71" t="s">
        <v>28</v>
      </c>
    </row>
    <row r="72" spans="1:10" hidden="1" x14ac:dyDescent="0.3">
      <c r="A72" t="s">
        <v>99</v>
      </c>
      <c r="B72" s="1">
        <v>45725</v>
      </c>
      <c r="C72" t="s">
        <v>21</v>
      </c>
      <c r="D72" t="s">
        <v>25</v>
      </c>
      <c r="E72" t="s">
        <v>22</v>
      </c>
      <c r="F72" t="s">
        <v>14</v>
      </c>
      <c r="G72">
        <v>4</v>
      </c>
      <c r="H72">
        <v>3616</v>
      </c>
      <c r="I72">
        <v>14464</v>
      </c>
      <c r="J72" t="s">
        <v>31</v>
      </c>
    </row>
    <row r="73" spans="1:10" hidden="1" x14ac:dyDescent="0.3">
      <c r="A73" t="s">
        <v>100</v>
      </c>
      <c r="B73" s="1">
        <v>45830</v>
      </c>
      <c r="C73" t="s">
        <v>39</v>
      </c>
      <c r="D73" t="s">
        <v>12</v>
      </c>
      <c r="E73" t="s">
        <v>43</v>
      </c>
      <c r="F73" t="s">
        <v>18</v>
      </c>
      <c r="G73">
        <v>2</v>
      </c>
      <c r="H73">
        <v>42188</v>
      </c>
      <c r="I73">
        <v>84376</v>
      </c>
      <c r="J73" t="s">
        <v>19</v>
      </c>
    </row>
    <row r="74" spans="1:10" hidden="1" x14ac:dyDescent="0.3">
      <c r="A74" t="s">
        <v>101</v>
      </c>
      <c r="B74" s="1">
        <v>45819</v>
      </c>
      <c r="C74" t="s">
        <v>61</v>
      </c>
      <c r="D74" t="s">
        <v>17</v>
      </c>
      <c r="E74" t="s">
        <v>27</v>
      </c>
      <c r="F74" t="s">
        <v>18</v>
      </c>
      <c r="G74">
        <v>5</v>
      </c>
      <c r="H74">
        <v>11575</v>
      </c>
      <c r="I74">
        <v>57875</v>
      </c>
      <c r="J74" t="s">
        <v>31</v>
      </c>
    </row>
    <row r="75" spans="1:10" hidden="1" x14ac:dyDescent="0.3">
      <c r="A75" t="s">
        <v>102</v>
      </c>
      <c r="B75" s="1">
        <v>45662</v>
      </c>
      <c r="C75" t="s">
        <v>50</v>
      </c>
      <c r="D75" t="s">
        <v>17</v>
      </c>
      <c r="E75" t="s">
        <v>27</v>
      </c>
      <c r="F75" t="s">
        <v>14</v>
      </c>
      <c r="G75">
        <v>1</v>
      </c>
      <c r="H75">
        <v>31641</v>
      </c>
      <c r="I75">
        <v>31641</v>
      </c>
      <c r="J75" t="s">
        <v>28</v>
      </c>
    </row>
    <row r="76" spans="1:10" hidden="1" x14ac:dyDescent="0.3">
      <c r="A76" t="s">
        <v>103</v>
      </c>
      <c r="B76" s="1">
        <v>45714</v>
      </c>
      <c r="C76" t="s">
        <v>39</v>
      </c>
      <c r="D76" t="s">
        <v>36</v>
      </c>
      <c r="E76" t="s">
        <v>22</v>
      </c>
      <c r="F76" t="s">
        <v>14</v>
      </c>
      <c r="G76">
        <v>3</v>
      </c>
      <c r="H76">
        <v>27399</v>
      </c>
      <c r="I76">
        <v>82197</v>
      </c>
      <c r="J76" t="s">
        <v>28</v>
      </c>
    </row>
    <row r="77" spans="1:10" hidden="1" x14ac:dyDescent="0.3">
      <c r="A77" t="s">
        <v>104</v>
      </c>
      <c r="B77" s="1">
        <v>45780</v>
      </c>
      <c r="C77" t="s">
        <v>11</v>
      </c>
      <c r="D77" t="s">
        <v>25</v>
      </c>
      <c r="E77" t="s">
        <v>43</v>
      </c>
      <c r="F77" t="s">
        <v>18</v>
      </c>
      <c r="G77">
        <v>5</v>
      </c>
      <c r="H77">
        <v>42855</v>
      </c>
      <c r="I77">
        <v>214275</v>
      </c>
      <c r="J77" t="s">
        <v>19</v>
      </c>
    </row>
    <row r="78" spans="1:10" hidden="1" x14ac:dyDescent="0.3">
      <c r="A78" t="s">
        <v>105</v>
      </c>
      <c r="B78" s="1">
        <v>45780</v>
      </c>
      <c r="C78" t="s">
        <v>39</v>
      </c>
      <c r="D78" t="s">
        <v>12</v>
      </c>
      <c r="E78" t="s">
        <v>13</v>
      </c>
      <c r="F78" t="s">
        <v>14</v>
      </c>
      <c r="G78">
        <v>4</v>
      </c>
      <c r="H78">
        <v>35749</v>
      </c>
      <c r="I78">
        <v>142996</v>
      </c>
      <c r="J78" t="s">
        <v>15</v>
      </c>
    </row>
    <row r="79" spans="1:10" hidden="1" x14ac:dyDescent="0.3">
      <c r="A79" t="s">
        <v>106</v>
      </c>
      <c r="B79" s="1">
        <v>45706</v>
      </c>
      <c r="C79" t="s">
        <v>61</v>
      </c>
      <c r="D79" t="s">
        <v>17</v>
      </c>
      <c r="E79" t="s">
        <v>27</v>
      </c>
      <c r="F79" t="s">
        <v>14</v>
      </c>
      <c r="G79">
        <v>4</v>
      </c>
      <c r="H79">
        <v>34512</v>
      </c>
      <c r="I79">
        <v>138048</v>
      </c>
      <c r="J79" t="s">
        <v>15</v>
      </c>
    </row>
    <row r="80" spans="1:10" hidden="1" x14ac:dyDescent="0.3">
      <c r="A80" t="s">
        <v>107</v>
      </c>
      <c r="B80" s="1">
        <v>45833</v>
      </c>
      <c r="C80" t="s">
        <v>24</v>
      </c>
      <c r="D80" t="s">
        <v>12</v>
      </c>
      <c r="E80" t="s">
        <v>43</v>
      </c>
      <c r="F80" t="s">
        <v>18</v>
      </c>
      <c r="G80">
        <v>3</v>
      </c>
      <c r="H80">
        <v>24604</v>
      </c>
      <c r="I80">
        <v>73812</v>
      </c>
      <c r="J80" t="s">
        <v>15</v>
      </c>
    </row>
    <row r="81" spans="1:10" hidden="1" x14ac:dyDescent="0.3">
      <c r="A81" t="s">
        <v>108</v>
      </c>
      <c r="B81" s="1">
        <v>45680</v>
      </c>
      <c r="C81" t="s">
        <v>21</v>
      </c>
      <c r="D81" t="s">
        <v>17</v>
      </c>
      <c r="E81" t="s">
        <v>43</v>
      </c>
      <c r="F81" t="s">
        <v>18</v>
      </c>
      <c r="G81">
        <v>2</v>
      </c>
      <c r="H81">
        <v>40362</v>
      </c>
      <c r="I81">
        <v>80724</v>
      </c>
      <c r="J81" t="s">
        <v>31</v>
      </c>
    </row>
    <row r="82" spans="1:10" hidden="1" x14ac:dyDescent="0.3">
      <c r="A82" t="s">
        <v>109</v>
      </c>
      <c r="B82" s="1">
        <v>45732</v>
      </c>
      <c r="C82" t="s">
        <v>39</v>
      </c>
      <c r="D82" t="s">
        <v>25</v>
      </c>
      <c r="E82" t="s">
        <v>27</v>
      </c>
      <c r="F82" t="s">
        <v>14</v>
      </c>
      <c r="G82">
        <v>5</v>
      </c>
      <c r="H82">
        <v>21973</v>
      </c>
      <c r="I82">
        <v>109865</v>
      </c>
      <c r="J82" t="s">
        <v>19</v>
      </c>
    </row>
    <row r="83" spans="1:10" hidden="1" x14ac:dyDescent="0.3">
      <c r="A83" t="s">
        <v>110</v>
      </c>
      <c r="B83" s="1">
        <v>45677</v>
      </c>
      <c r="C83" t="s">
        <v>21</v>
      </c>
      <c r="D83" t="s">
        <v>36</v>
      </c>
      <c r="E83" t="s">
        <v>27</v>
      </c>
      <c r="F83" t="s">
        <v>18</v>
      </c>
      <c r="G83">
        <v>2</v>
      </c>
      <c r="H83">
        <v>16059</v>
      </c>
      <c r="I83">
        <v>32118</v>
      </c>
      <c r="J83" t="s">
        <v>31</v>
      </c>
    </row>
    <row r="84" spans="1:10" hidden="1" x14ac:dyDescent="0.3">
      <c r="A84" t="s">
        <v>111</v>
      </c>
      <c r="B84" s="1">
        <v>45769</v>
      </c>
      <c r="C84" t="s">
        <v>50</v>
      </c>
      <c r="D84" t="s">
        <v>25</v>
      </c>
      <c r="E84" t="s">
        <v>27</v>
      </c>
      <c r="F84" t="s">
        <v>14</v>
      </c>
      <c r="G84">
        <v>5</v>
      </c>
      <c r="H84">
        <v>27291</v>
      </c>
      <c r="I84">
        <v>136455</v>
      </c>
      <c r="J84" t="s">
        <v>31</v>
      </c>
    </row>
    <row r="85" spans="1:10" hidden="1" x14ac:dyDescent="0.3">
      <c r="A85" t="s">
        <v>112</v>
      </c>
      <c r="B85" s="1">
        <v>45720</v>
      </c>
      <c r="C85" t="s">
        <v>39</v>
      </c>
      <c r="D85" t="s">
        <v>17</v>
      </c>
      <c r="E85" t="s">
        <v>30</v>
      </c>
      <c r="F85" t="s">
        <v>14</v>
      </c>
      <c r="G85">
        <v>3</v>
      </c>
      <c r="H85">
        <v>22832</v>
      </c>
      <c r="I85">
        <v>68496</v>
      </c>
      <c r="J85" t="s">
        <v>15</v>
      </c>
    </row>
    <row r="86" spans="1:10" hidden="1" x14ac:dyDescent="0.3">
      <c r="A86" t="s">
        <v>113</v>
      </c>
      <c r="B86" s="1">
        <v>45661</v>
      </c>
      <c r="C86" t="s">
        <v>48</v>
      </c>
      <c r="D86" t="s">
        <v>36</v>
      </c>
      <c r="E86" t="s">
        <v>27</v>
      </c>
      <c r="F86" t="s">
        <v>18</v>
      </c>
      <c r="G86">
        <v>1</v>
      </c>
      <c r="H86">
        <v>37789</v>
      </c>
      <c r="I86">
        <v>37789</v>
      </c>
      <c r="J86" t="s">
        <v>28</v>
      </c>
    </row>
    <row r="87" spans="1:10" hidden="1" x14ac:dyDescent="0.3">
      <c r="A87" t="s">
        <v>114</v>
      </c>
      <c r="B87" s="1">
        <v>45791</v>
      </c>
      <c r="C87" t="s">
        <v>11</v>
      </c>
      <c r="D87" t="s">
        <v>25</v>
      </c>
      <c r="E87" t="s">
        <v>30</v>
      </c>
      <c r="F87" t="s">
        <v>18</v>
      </c>
      <c r="G87">
        <v>2</v>
      </c>
      <c r="H87">
        <v>25469</v>
      </c>
      <c r="I87">
        <v>50938</v>
      </c>
      <c r="J87" t="s">
        <v>31</v>
      </c>
    </row>
    <row r="88" spans="1:10" hidden="1" x14ac:dyDescent="0.3">
      <c r="A88" t="s">
        <v>115</v>
      </c>
      <c r="B88" s="1">
        <v>45673</v>
      </c>
      <c r="C88" t="s">
        <v>39</v>
      </c>
      <c r="D88" t="s">
        <v>25</v>
      </c>
      <c r="E88" t="s">
        <v>22</v>
      </c>
      <c r="F88" t="s">
        <v>18</v>
      </c>
      <c r="G88">
        <v>2</v>
      </c>
      <c r="H88">
        <v>45094</v>
      </c>
      <c r="I88">
        <v>90188</v>
      </c>
      <c r="J88" t="s">
        <v>19</v>
      </c>
    </row>
    <row r="89" spans="1:10" hidden="1" x14ac:dyDescent="0.3">
      <c r="A89" t="s">
        <v>116</v>
      </c>
      <c r="B89" s="1">
        <v>45781</v>
      </c>
      <c r="C89" t="s">
        <v>61</v>
      </c>
      <c r="D89" t="s">
        <v>12</v>
      </c>
      <c r="E89" t="s">
        <v>22</v>
      </c>
      <c r="F89" t="s">
        <v>14</v>
      </c>
      <c r="G89">
        <v>3</v>
      </c>
      <c r="H89">
        <v>41455</v>
      </c>
      <c r="I89">
        <v>124365</v>
      </c>
      <c r="J89" t="s">
        <v>28</v>
      </c>
    </row>
    <row r="90" spans="1:10" hidden="1" x14ac:dyDescent="0.3">
      <c r="A90" t="s">
        <v>117</v>
      </c>
      <c r="B90" s="1">
        <v>45785</v>
      </c>
      <c r="C90" t="s">
        <v>48</v>
      </c>
      <c r="D90" t="s">
        <v>36</v>
      </c>
      <c r="E90" t="s">
        <v>30</v>
      </c>
      <c r="F90" t="s">
        <v>18</v>
      </c>
      <c r="G90">
        <v>3</v>
      </c>
      <c r="H90">
        <v>44335</v>
      </c>
      <c r="I90">
        <v>133005</v>
      </c>
      <c r="J90" t="s">
        <v>31</v>
      </c>
    </row>
    <row r="91" spans="1:10" hidden="1" x14ac:dyDescent="0.3">
      <c r="A91" t="s">
        <v>118</v>
      </c>
      <c r="B91" s="1">
        <v>45793</v>
      </c>
      <c r="C91" t="s">
        <v>48</v>
      </c>
      <c r="D91" t="s">
        <v>17</v>
      </c>
      <c r="E91" t="s">
        <v>27</v>
      </c>
      <c r="F91" t="s">
        <v>14</v>
      </c>
      <c r="G91">
        <v>2</v>
      </c>
      <c r="H91">
        <v>21825</v>
      </c>
      <c r="I91">
        <v>43650</v>
      </c>
      <c r="J91" t="s">
        <v>15</v>
      </c>
    </row>
    <row r="92" spans="1:10" hidden="1" x14ac:dyDescent="0.3">
      <c r="A92" t="s">
        <v>119</v>
      </c>
      <c r="B92" s="1">
        <v>45823</v>
      </c>
      <c r="C92" t="s">
        <v>48</v>
      </c>
      <c r="D92" t="s">
        <v>17</v>
      </c>
      <c r="E92" t="s">
        <v>27</v>
      </c>
      <c r="F92" t="s">
        <v>18</v>
      </c>
      <c r="G92">
        <v>4</v>
      </c>
      <c r="H92">
        <v>11191</v>
      </c>
      <c r="I92">
        <v>44764</v>
      </c>
      <c r="J92" t="s">
        <v>15</v>
      </c>
    </row>
    <row r="93" spans="1:10" x14ac:dyDescent="0.3">
      <c r="A93" t="s">
        <v>120</v>
      </c>
      <c r="B93" s="1">
        <v>45771</v>
      </c>
      <c r="C93" t="s">
        <v>41</v>
      </c>
      <c r="D93" t="s">
        <v>17</v>
      </c>
      <c r="E93" t="s">
        <v>43</v>
      </c>
      <c r="F93" t="s">
        <v>14</v>
      </c>
      <c r="G93">
        <v>1</v>
      </c>
      <c r="H93">
        <v>39955</v>
      </c>
      <c r="I93">
        <v>39955</v>
      </c>
      <c r="J93" t="s">
        <v>28</v>
      </c>
    </row>
    <row r="94" spans="1:10" hidden="1" x14ac:dyDescent="0.3">
      <c r="A94" t="s">
        <v>121</v>
      </c>
      <c r="B94" s="1">
        <v>45775</v>
      </c>
      <c r="C94" t="s">
        <v>39</v>
      </c>
      <c r="D94" t="s">
        <v>25</v>
      </c>
      <c r="E94" t="s">
        <v>30</v>
      </c>
      <c r="F94" t="s">
        <v>14</v>
      </c>
      <c r="G94">
        <v>2</v>
      </c>
      <c r="H94">
        <v>24275</v>
      </c>
      <c r="I94">
        <v>48550</v>
      </c>
      <c r="J94" t="s">
        <v>15</v>
      </c>
    </row>
    <row r="95" spans="1:10" hidden="1" x14ac:dyDescent="0.3">
      <c r="A95" t="s">
        <v>122</v>
      </c>
      <c r="B95" s="1">
        <v>45755</v>
      </c>
      <c r="C95" t="s">
        <v>11</v>
      </c>
      <c r="D95" t="s">
        <v>36</v>
      </c>
      <c r="E95" t="s">
        <v>22</v>
      </c>
      <c r="F95" t="s">
        <v>14</v>
      </c>
      <c r="G95">
        <v>5</v>
      </c>
      <c r="H95">
        <v>10477</v>
      </c>
      <c r="I95">
        <v>52385</v>
      </c>
      <c r="J95" t="s">
        <v>19</v>
      </c>
    </row>
    <row r="96" spans="1:10" hidden="1" x14ac:dyDescent="0.3">
      <c r="A96" t="s">
        <v>123</v>
      </c>
      <c r="B96" s="1">
        <v>45704</v>
      </c>
      <c r="C96" t="s">
        <v>50</v>
      </c>
      <c r="D96" t="s">
        <v>25</v>
      </c>
      <c r="E96" t="s">
        <v>22</v>
      </c>
      <c r="F96" t="s">
        <v>18</v>
      </c>
      <c r="G96">
        <v>5</v>
      </c>
      <c r="H96">
        <v>26751</v>
      </c>
      <c r="I96">
        <v>133755</v>
      </c>
      <c r="J96" t="s">
        <v>19</v>
      </c>
    </row>
    <row r="97" spans="1:10" x14ac:dyDescent="0.3">
      <c r="A97" t="s">
        <v>124</v>
      </c>
      <c r="B97" s="1">
        <v>45823</v>
      </c>
      <c r="C97" t="s">
        <v>41</v>
      </c>
      <c r="D97" t="s">
        <v>25</v>
      </c>
      <c r="E97" t="s">
        <v>30</v>
      </c>
      <c r="F97" t="s">
        <v>14</v>
      </c>
      <c r="G97">
        <v>2</v>
      </c>
      <c r="H97">
        <v>42883</v>
      </c>
      <c r="I97">
        <v>85766</v>
      </c>
      <c r="J97" t="s">
        <v>19</v>
      </c>
    </row>
    <row r="98" spans="1:10" hidden="1" x14ac:dyDescent="0.3">
      <c r="A98" t="s">
        <v>125</v>
      </c>
      <c r="B98" s="1">
        <v>45809</v>
      </c>
      <c r="C98" t="s">
        <v>11</v>
      </c>
      <c r="D98" t="s">
        <v>17</v>
      </c>
      <c r="E98" t="s">
        <v>43</v>
      </c>
      <c r="F98" t="s">
        <v>14</v>
      </c>
      <c r="G98">
        <v>2</v>
      </c>
      <c r="H98">
        <v>32561</v>
      </c>
      <c r="I98">
        <v>65122</v>
      </c>
      <c r="J98" t="s">
        <v>19</v>
      </c>
    </row>
    <row r="99" spans="1:10" hidden="1" x14ac:dyDescent="0.3">
      <c r="A99" t="s">
        <v>126</v>
      </c>
      <c r="B99" s="1">
        <v>45791</v>
      </c>
      <c r="C99" t="s">
        <v>50</v>
      </c>
      <c r="D99" t="s">
        <v>12</v>
      </c>
      <c r="E99" t="s">
        <v>43</v>
      </c>
      <c r="F99" t="s">
        <v>14</v>
      </c>
      <c r="G99">
        <v>1</v>
      </c>
      <c r="H99">
        <v>9183</v>
      </c>
      <c r="I99">
        <v>9183</v>
      </c>
      <c r="J99" t="s">
        <v>19</v>
      </c>
    </row>
    <row r="100" spans="1:10" hidden="1" x14ac:dyDescent="0.3">
      <c r="A100" t="s">
        <v>127</v>
      </c>
      <c r="B100" s="1">
        <v>45723</v>
      </c>
      <c r="C100" t="s">
        <v>50</v>
      </c>
      <c r="D100" t="s">
        <v>36</v>
      </c>
      <c r="E100" t="s">
        <v>27</v>
      </c>
      <c r="F100" t="s">
        <v>14</v>
      </c>
      <c r="G100">
        <v>4</v>
      </c>
      <c r="H100">
        <v>18493</v>
      </c>
      <c r="I100">
        <v>73972</v>
      </c>
      <c r="J100" t="s">
        <v>15</v>
      </c>
    </row>
    <row r="101" spans="1:10" hidden="1" x14ac:dyDescent="0.3">
      <c r="A101" t="s">
        <v>128</v>
      </c>
      <c r="B101" s="1">
        <v>45750</v>
      </c>
      <c r="C101" t="s">
        <v>61</v>
      </c>
      <c r="D101" t="s">
        <v>36</v>
      </c>
      <c r="E101" t="s">
        <v>22</v>
      </c>
      <c r="F101" t="s">
        <v>14</v>
      </c>
      <c r="G101">
        <v>4</v>
      </c>
      <c r="H101">
        <v>36217</v>
      </c>
      <c r="I101">
        <v>144868</v>
      </c>
      <c r="J101" t="s">
        <v>31</v>
      </c>
    </row>
    <row r="102" spans="1:10" hidden="1" x14ac:dyDescent="0.3">
      <c r="A102" t="s">
        <v>129</v>
      </c>
      <c r="B102" s="1">
        <v>45801</v>
      </c>
      <c r="C102" t="s">
        <v>48</v>
      </c>
      <c r="D102" t="s">
        <v>25</v>
      </c>
      <c r="E102" t="s">
        <v>27</v>
      </c>
      <c r="F102" t="s">
        <v>14</v>
      </c>
      <c r="G102">
        <v>2</v>
      </c>
      <c r="H102">
        <v>15027</v>
      </c>
      <c r="I102">
        <v>30054</v>
      </c>
      <c r="J102" t="s">
        <v>31</v>
      </c>
    </row>
    <row r="103" spans="1:10" hidden="1" x14ac:dyDescent="0.3">
      <c r="A103" t="s">
        <v>130</v>
      </c>
      <c r="B103" s="1">
        <v>45687</v>
      </c>
      <c r="C103" t="s">
        <v>24</v>
      </c>
      <c r="D103" t="s">
        <v>17</v>
      </c>
      <c r="E103" t="s">
        <v>27</v>
      </c>
      <c r="F103" t="s">
        <v>18</v>
      </c>
      <c r="G103">
        <v>4</v>
      </c>
      <c r="H103">
        <v>1597</v>
      </c>
      <c r="I103">
        <v>6388</v>
      </c>
      <c r="J103" t="s">
        <v>28</v>
      </c>
    </row>
    <row r="104" spans="1:10" x14ac:dyDescent="0.3">
      <c r="A104" t="s">
        <v>131</v>
      </c>
      <c r="B104" s="1">
        <v>45659</v>
      </c>
      <c r="C104" t="s">
        <v>41</v>
      </c>
      <c r="D104" t="s">
        <v>17</v>
      </c>
      <c r="E104" t="s">
        <v>13</v>
      </c>
      <c r="F104" t="s">
        <v>18</v>
      </c>
      <c r="G104">
        <v>2</v>
      </c>
      <c r="H104">
        <v>18864</v>
      </c>
      <c r="I104">
        <v>37728</v>
      </c>
      <c r="J104" t="s">
        <v>15</v>
      </c>
    </row>
    <row r="105" spans="1:10" hidden="1" x14ac:dyDescent="0.3">
      <c r="A105" t="s">
        <v>132</v>
      </c>
      <c r="B105" s="1">
        <v>45780</v>
      </c>
      <c r="C105" t="s">
        <v>48</v>
      </c>
      <c r="D105" t="s">
        <v>17</v>
      </c>
      <c r="E105" t="s">
        <v>22</v>
      </c>
      <c r="F105" t="s">
        <v>18</v>
      </c>
      <c r="G105">
        <v>5</v>
      </c>
      <c r="H105">
        <v>28670</v>
      </c>
      <c r="I105">
        <v>143350</v>
      </c>
      <c r="J105" t="s">
        <v>19</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8F486-36C5-4B13-8A85-4EA8F1D7CCAE}">
  <dimension ref="A1:J33"/>
  <sheetViews>
    <sheetView workbookViewId="0">
      <selection activeCell="C27" sqref="C27"/>
    </sheetView>
  </sheetViews>
  <sheetFormatPr defaultRowHeight="14.4" x14ac:dyDescent="0.3"/>
  <cols>
    <col min="1" max="1" width="11.109375" bestFit="1" customWidth="1"/>
    <col min="2" max="2" width="14.88671875" bestFit="1" customWidth="1"/>
    <col min="3" max="3" width="20.77734375" bestFit="1" customWidth="1"/>
    <col min="4" max="4" width="6.88671875" bestFit="1" customWidth="1"/>
    <col min="5" max="5" width="11.109375" bestFit="1" customWidth="1"/>
    <col min="6" max="6" width="6.21875" bestFit="1" customWidth="1"/>
    <col min="7" max="7" width="10.77734375" bestFit="1" customWidth="1"/>
    <col min="8" max="8" width="15.5546875" bestFit="1" customWidth="1"/>
    <col min="9" max="9" width="10.77734375" bestFit="1" customWidth="1"/>
    <col min="10" max="10" width="17" bestFit="1" customWidth="1"/>
    <col min="11" max="12" width="8" bestFit="1" customWidth="1"/>
    <col min="13" max="13" width="11.109375" bestFit="1" customWidth="1"/>
    <col min="14" max="14" width="8" bestFit="1" customWidth="1"/>
    <col min="15" max="15" width="10.77734375" bestFit="1" customWidth="1"/>
    <col min="16" max="82" width="15.5546875" bestFit="1" customWidth="1"/>
    <col min="83" max="83" width="10.77734375" bestFit="1" customWidth="1"/>
  </cols>
  <sheetData>
    <row r="1" spans="1:10" x14ac:dyDescent="0.3">
      <c r="I1" t="s">
        <v>148</v>
      </c>
    </row>
    <row r="2" spans="1:10" x14ac:dyDescent="0.3">
      <c r="A2" t="s">
        <v>136</v>
      </c>
      <c r="I2" s="2" t="s">
        <v>147</v>
      </c>
      <c r="J2" t="s">
        <v>134</v>
      </c>
    </row>
    <row r="3" spans="1:10" x14ac:dyDescent="0.3">
      <c r="A3" s="2" t="s">
        <v>3</v>
      </c>
      <c r="B3" t="s">
        <v>135</v>
      </c>
      <c r="C3" t="s">
        <v>137</v>
      </c>
      <c r="I3" s="3" t="s">
        <v>141</v>
      </c>
      <c r="J3">
        <v>184924</v>
      </c>
    </row>
    <row r="4" spans="1:10" x14ac:dyDescent="0.3">
      <c r="A4" s="3" t="s">
        <v>17</v>
      </c>
      <c r="B4" s="4">
        <v>842736</v>
      </c>
      <c r="C4" s="4">
        <v>31</v>
      </c>
      <c r="I4" s="3" t="s">
        <v>142</v>
      </c>
      <c r="J4">
        <v>195994</v>
      </c>
    </row>
    <row r="5" spans="1:10" x14ac:dyDescent="0.3">
      <c r="A5" s="3" t="s">
        <v>25</v>
      </c>
      <c r="B5" s="4">
        <v>170185</v>
      </c>
      <c r="C5" s="4">
        <v>7</v>
      </c>
      <c r="I5" s="3" t="s">
        <v>143</v>
      </c>
      <c r="J5">
        <v>630589</v>
      </c>
    </row>
    <row r="6" spans="1:10" x14ac:dyDescent="0.3">
      <c r="A6" s="3" t="s">
        <v>12</v>
      </c>
      <c r="B6" s="4">
        <v>530033</v>
      </c>
      <c r="C6" s="4">
        <v>17</v>
      </c>
      <c r="I6" s="3" t="s">
        <v>144</v>
      </c>
      <c r="J6">
        <v>183118</v>
      </c>
    </row>
    <row r="7" spans="1:10" x14ac:dyDescent="0.3">
      <c r="A7" s="3" t="s">
        <v>36</v>
      </c>
      <c r="B7" s="4">
        <v>440755</v>
      </c>
      <c r="C7" s="4">
        <v>13</v>
      </c>
      <c r="I7" s="3" t="s">
        <v>145</v>
      </c>
      <c r="J7">
        <v>453798</v>
      </c>
    </row>
    <row r="8" spans="1:10" x14ac:dyDescent="0.3">
      <c r="A8" s="3" t="s">
        <v>133</v>
      </c>
      <c r="B8" s="4">
        <v>1983709</v>
      </c>
      <c r="C8">
        <v>68</v>
      </c>
      <c r="I8" s="3" t="s">
        <v>146</v>
      </c>
      <c r="J8">
        <v>335286</v>
      </c>
    </row>
    <row r="9" spans="1:10" x14ac:dyDescent="0.3">
      <c r="I9" s="3" t="s">
        <v>133</v>
      </c>
      <c r="J9">
        <v>1983709</v>
      </c>
    </row>
    <row r="10" spans="1:10" x14ac:dyDescent="0.3">
      <c r="A10" s="2" t="s">
        <v>5</v>
      </c>
      <c r="B10" t="s">
        <v>138</v>
      </c>
    </row>
    <row r="11" spans="1:10" x14ac:dyDescent="0.3">
      <c r="A11" t="s">
        <v>149</v>
      </c>
    </row>
    <row r="12" spans="1:10" x14ac:dyDescent="0.3">
      <c r="A12" s="2" t="s">
        <v>4</v>
      </c>
      <c r="B12" t="s">
        <v>137</v>
      </c>
      <c r="C12" t="s">
        <v>139</v>
      </c>
      <c r="E12" s="12" t="s">
        <v>152</v>
      </c>
    </row>
    <row r="13" spans="1:10" x14ac:dyDescent="0.3">
      <c r="A13" s="3" t="s">
        <v>27</v>
      </c>
      <c r="B13">
        <v>23</v>
      </c>
      <c r="C13" s="4">
        <v>568197</v>
      </c>
    </row>
    <row r="14" spans="1:10" x14ac:dyDescent="0.3">
      <c r="A14" s="3" t="s">
        <v>43</v>
      </c>
      <c r="B14">
        <v>14</v>
      </c>
      <c r="C14" s="4">
        <v>487348</v>
      </c>
      <c r="E14" s="13">
        <f>MAX(B13:B17)</f>
        <v>23</v>
      </c>
    </row>
    <row r="15" spans="1:10" x14ac:dyDescent="0.3">
      <c r="A15" s="3" t="s">
        <v>13</v>
      </c>
      <c r="B15">
        <v>16</v>
      </c>
      <c r="C15" s="4">
        <v>435351</v>
      </c>
    </row>
    <row r="16" spans="1:10" x14ac:dyDescent="0.3">
      <c r="A16" s="3" t="s">
        <v>30</v>
      </c>
      <c r="B16">
        <v>12</v>
      </c>
      <c r="C16" s="4">
        <v>407520</v>
      </c>
    </row>
    <row r="17" spans="1:3" x14ac:dyDescent="0.3">
      <c r="A17" s="3" t="s">
        <v>22</v>
      </c>
      <c r="B17">
        <v>3</v>
      </c>
      <c r="C17" s="4">
        <v>85293</v>
      </c>
    </row>
    <row r="18" spans="1:3" x14ac:dyDescent="0.3">
      <c r="A18" s="3" t="s">
        <v>133</v>
      </c>
      <c r="B18">
        <v>68</v>
      </c>
      <c r="C18">
        <v>1983709</v>
      </c>
    </row>
    <row r="26" spans="1:3" x14ac:dyDescent="0.3">
      <c r="A26" s="2" t="s">
        <v>140</v>
      </c>
      <c r="B26" t="s">
        <v>137</v>
      </c>
    </row>
    <row r="27" spans="1:3" x14ac:dyDescent="0.3">
      <c r="A27" s="3" t="s">
        <v>48</v>
      </c>
      <c r="B27">
        <v>15</v>
      </c>
    </row>
    <row r="28" spans="1:3" x14ac:dyDescent="0.3">
      <c r="A28" s="3" t="s">
        <v>24</v>
      </c>
      <c r="B28">
        <v>15</v>
      </c>
    </row>
    <row r="29" spans="1:3" x14ac:dyDescent="0.3">
      <c r="A29" s="3" t="s">
        <v>61</v>
      </c>
      <c r="B29">
        <v>10</v>
      </c>
    </row>
    <row r="30" spans="1:3" x14ac:dyDescent="0.3">
      <c r="A30" s="3" t="s">
        <v>39</v>
      </c>
      <c r="B30">
        <v>10</v>
      </c>
    </row>
    <row r="31" spans="1:3" x14ac:dyDescent="0.3">
      <c r="A31" s="3" t="s">
        <v>50</v>
      </c>
      <c r="B31">
        <v>10</v>
      </c>
    </row>
    <row r="32" spans="1:3" x14ac:dyDescent="0.3">
      <c r="A32" s="3" t="s">
        <v>11</v>
      </c>
      <c r="B32">
        <v>8</v>
      </c>
    </row>
    <row r="33" spans="1:2" x14ac:dyDescent="0.3">
      <c r="A33" s="3" t="s">
        <v>133</v>
      </c>
      <c r="B33">
        <v>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7AD6-B223-44EA-9B6F-2FCCB12B0899}">
  <dimension ref="A1:R40"/>
  <sheetViews>
    <sheetView showGridLines="0" workbookViewId="0">
      <selection activeCell="B5" sqref="B5"/>
    </sheetView>
  </sheetViews>
  <sheetFormatPr defaultRowHeight="14.4" x14ac:dyDescent="0.3"/>
  <cols>
    <col min="1" max="1" width="35.88671875" customWidth="1"/>
    <col min="4" max="4" width="11.5546875" customWidth="1"/>
    <col min="5" max="5" width="14.109375" customWidth="1"/>
    <col min="6" max="6" width="13.33203125" customWidth="1"/>
    <col min="12" max="12" width="11.109375" bestFit="1" customWidth="1"/>
    <col min="13" max="13" width="12.109375" customWidth="1"/>
    <col min="14" max="14" width="14.44140625" customWidth="1"/>
  </cols>
  <sheetData>
    <row r="1" spans="1:18" x14ac:dyDescent="0.3">
      <c r="A1" s="5"/>
    </row>
    <row r="2" spans="1:18" ht="36.6" x14ac:dyDescent="0.7">
      <c r="A2" s="5"/>
      <c r="C2" s="16"/>
      <c r="D2" s="14"/>
      <c r="E2" s="15" t="s">
        <v>153</v>
      </c>
      <c r="F2" s="15"/>
      <c r="G2" s="15"/>
      <c r="H2" s="15"/>
      <c r="I2" s="15"/>
      <c r="J2" s="15"/>
      <c r="K2" s="14"/>
      <c r="L2" s="14"/>
      <c r="M2" s="14"/>
      <c r="N2" s="16"/>
      <c r="O2" s="16"/>
      <c r="P2" s="16"/>
      <c r="Q2" s="16"/>
      <c r="R2" s="16"/>
    </row>
    <row r="3" spans="1:18" x14ac:dyDescent="0.3">
      <c r="A3" s="5"/>
    </row>
    <row r="4" spans="1:18" x14ac:dyDescent="0.3">
      <c r="A4" s="5"/>
    </row>
    <row r="5" spans="1:18" x14ac:dyDescent="0.3">
      <c r="A5" s="5"/>
    </row>
    <row r="6" spans="1:18" x14ac:dyDescent="0.3">
      <c r="A6" s="5"/>
    </row>
    <row r="7" spans="1:18" x14ac:dyDescent="0.3">
      <c r="A7" s="5"/>
    </row>
    <row r="8" spans="1:18" x14ac:dyDescent="0.3">
      <c r="A8" s="5"/>
    </row>
    <row r="9" spans="1:18" x14ac:dyDescent="0.3">
      <c r="A9" s="5"/>
    </row>
    <row r="10" spans="1:18" x14ac:dyDescent="0.3">
      <c r="A10" s="5"/>
    </row>
    <row r="11" spans="1:18" x14ac:dyDescent="0.3">
      <c r="A11" s="5"/>
    </row>
    <row r="12" spans="1:18" x14ac:dyDescent="0.3">
      <c r="A12" s="5"/>
    </row>
    <row r="13" spans="1:18" x14ac:dyDescent="0.3">
      <c r="A13" s="5"/>
    </row>
    <row r="14" spans="1:18" x14ac:dyDescent="0.3">
      <c r="A14" s="5"/>
    </row>
    <row r="15" spans="1:18" x14ac:dyDescent="0.3">
      <c r="A15" s="5"/>
      <c r="D15" s="6" t="s">
        <v>3</v>
      </c>
      <c r="E15" s="6" t="s">
        <v>150</v>
      </c>
      <c r="F15" s="6" t="s">
        <v>151</v>
      </c>
      <c r="L15" s="6" t="s">
        <v>4</v>
      </c>
      <c r="M15" s="6" t="s">
        <v>137</v>
      </c>
      <c r="N15" s="6" t="s">
        <v>139</v>
      </c>
    </row>
    <row r="16" spans="1:18" x14ac:dyDescent="0.3">
      <c r="A16" s="5"/>
      <c r="D16" s="6" t="str">
        <f>'pivot table'!A4</f>
        <v>East</v>
      </c>
      <c r="E16" s="8">
        <f>'pivot table'!B4</f>
        <v>842736</v>
      </c>
      <c r="F16" s="6">
        <f>'pivot table'!C4</f>
        <v>31</v>
      </c>
      <c r="L16" s="6" t="str">
        <f>'pivot table'!A13</f>
        <v>Tablet</v>
      </c>
      <c r="M16" s="6">
        <f>'pivot table'!B13</f>
        <v>23</v>
      </c>
      <c r="N16" s="10">
        <f>'pivot table'!C13</f>
        <v>568197</v>
      </c>
    </row>
    <row r="17" spans="1:14" x14ac:dyDescent="0.3">
      <c r="A17" s="5"/>
      <c r="D17" s="6" t="str">
        <f>'pivot table'!A5</f>
        <v>North</v>
      </c>
      <c r="E17" s="8">
        <f>'pivot table'!B5</f>
        <v>170185</v>
      </c>
      <c r="F17" s="6">
        <f>'pivot table'!C5</f>
        <v>7</v>
      </c>
      <c r="L17" s="6" t="str">
        <f>'pivot table'!A14</f>
        <v>Headphones</v>
      </c>
      <c r="M17" s="6">
        <f>'pivot table'!B14</f>
        <v>14</v>
      </c>
      <c r="N17" s="10">
        <f>'pivot table'!C14</f>
        <v>487348</v>
      </c>
    </row>
    <row r="18" spans="1:14" x14ac:dyDescent="0.3">
      <c r="A18" s="5"/>
      <c r="D18" s="6" t="str">
        <f>'pivot table'!A6</f>
        <v>South</v>
      </c>
      <c r="E18" s="8">
        <f>'pivot table'!B6</f>
        <v>530033</v>
      </c>
      <c r="F18" s="6">
        <f>'pivot table'!C6</f>
        <v>17</v>
      </c>
      <c r="L18" s="6" t="str">
        <f>'pivot table'!A15</f>
        <v>Laptop</v>
      </c>
      <c r="M18" s="6">
        <f>'pivot table'!B15</f>
        <v>16</v>
      </c>
      <c r="N18" s="10">
        <f>'pivot table'!C15</f>
        <v>435351</v>
      </c>
    </row>
    <row r="19" spans="1:14" x14ac:dyDescent="0.3">
      <c r="A19" s="5"/>
      <c r="D19" s="6" t="str">
        <f>'pivot table'!A7</f>
        <v>West</v>
      </c>
      <c r="E19" s="8">
        <f>'pivot table'!B7</f>
        <v>440755</v>
      </c>
      <c r="F19" s="6">
        <f>'pivot table'!C7</f>
        <v>13</v>
      </c>
      <c r="L19" s="6" t="str">
        <f>'pivot table'!A16</f>
        <v>Smartwatch</v>
      </c>
      <c r="M19" s="6">
        <f>'pivot table'!B16</f>
        <v>12</v>
      </c>
      <c r="N19" s="10">
        <f>'pivot table'!C16</f>
        <v>407520</v>
      </c>
    </row>
    <row r="20" spans="1:14" x14ac:dyDescent="0.3">
      <c r="A20" s="5"/>
      <c r="D20" s="7" t="str">
        <f>'pivot table'!A8</f>
        <v>Grand Total</v>
      </c>
      <c r="E20" s="9">
        <f>'pivot table'!B8</f>
        <v>1983709</v>
      </c>
      <c r="F20" s="7">
        <f>'pivot table'!C8</f>
        <v>68</v>
      </c>
      <c r="L20" s="6" t="str">
        <f>'pivot table'!A17</f>
        <v>Mobile</v>
      </c>
      <c r="M20" s="6">
        <f>'pivot table'!B17</f>
        <v>3</v>
      </c>
      <c r="N20" s="10">
        <f>'pivot table'!C17</f>
        <v>85293</v>
      </c>
    </row>
    <row r="21" spans="1:14" x14ac:dyDescent="0.3">
      <c r="A21" s="5"/>
      <c r="L21" s="7" t="str">
        <f>'pivot table'!A18</f>
        <v>Grand Total</v>
      </c>
      <c r="M21" s="7">
        <f>'pivot table'!B18</f>
        <v>68</v>
      </c>
      <c r="N21" s="11">
        <f>'pivot table'!C18</f>
        <v>1983709</v>
      </c>
    </row>
    <row r="22" spans="1:14" x14ac:dyDescent="0.3">
      <c r="A22" s="5"/>
    </row>
    <row r="23" spans="1:14" x14ac:dyDescent="0.3">
      <c r="A23" s="5"/>
    </row>
    <row r="24" spans="1:14" x14ac:dyDescent="0.3">
      <c r="A24" s="5"/>
    </row>
    <row r="25" spans="1:14" x14ac:dyDescent="0.3">
      <c r="A25" s="5"/>
    </row>
    <row r="26" spans="1:14" x14ac:dyDescent="0.3">
      <c r="A26" s="5"/>
    </row>
    <row r="27" spans="1:14" x14ac:dyDescent="0.3">
      <c r="A27" s="5"/>
    </row>
    <row r="28" spans="1:14" x14ac:dyDescent="0.3">
      <c r="A28" s="5"/>
    </row>
    <row r="29" spans="1:14" x14ac:dyDescent="0.3">
      <c r="A29" s="5"/>
    </row>
    <row r="30" spans="1:14" x14ac:dyDescent="0.3">
      <c r="A30" s="5"/>
    </row>
    <row r="31" spans="1:14" x14ac:dyDescent="0.3">
      <c r="A31" s="5"/>
    </row>
    <row r="32" spans="1:14" x14ac:dyDescent="0.3">
      <c r="A32" s="5"/>
    </row>
    <row r="33" spans="1:1" x14ac:dyDescent="0.3">
      <c r="A33" s="5"/>
    </row>
    <row r="34" spans="1:1" x14ac:dyDescent="0.3">
      <c r="A34" s="5"/>
    </row>
    <row r="35" spans="1:1" x14ac:dyDescent="0.3">
      <c r="A35" s="5"/>
    </row>
    <row r="36" spans="1:1" x14ac:dyDescent="0.3">
      <c r="A36" s="5"/>
    </row>
    <row r="37" spans="1:1" x14ac:dyDescent="0.3">
      <c r="A37" s="5"/>
    </row>
    <row r="38" spans="1:1" x14ac:dyDescent="0.3">
      <c r="A38" s="5"/>
    </row>
    <row r="39" spans="1:1" x14ac:dyDescent="0.3">
      <c r="A39" s="5"/>
    </row>
    <row r="40" spans="1:1" x14ac:dyDescent="0.3">
      <c r="A40" s="5"/>
    </row>
  </sheetData>
  <mergeCells count="1">
    <mergeCell ref="E2:J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95391-7CBD-47F8-9EF3-01FC426BCF68}">
  <dimension ref="A5:J105"/>
  <sheetViews>
    <sheetView tabSelected="1" workbookViewId="0">
      <selection activeCell="L16" sqref="L16"/>
    </sheetView>
  </sheetViews>
  <sheetFormatPr defaultRowHeight="14.4" x14ac:dyDescent="0.3"/>
  <cols>
    <col min="1" max="1" width="10.44140625" customWidth="1"/>
    <col min="2" max="2" width="12.5546875" customWidth="1"/>
    <col min="3" max="3" width="17" customWidth="1"/>
    <col min="5" max="5" width="9.5546875" customWidth="1"/>
    <col min="6" max="6" width="10.44140625" customWidth="1"/>
    <col min="7" max="7" width="10.21875" customWidth="1"/>
    <col min="8" max="8" width="11.5546875" customWidth="1"/>
    <col min="9" max="9" width="12.33203125" customWidth="1"/>
    <col min="10" max="10" width="16.44140625" customWidth="1"/>
  </cols>
  <sheetData>
    <row r="5" spans="1:10" x14ac:dyDescent="0.3">
      <c r="A5" t="s">
        <v>0</v>
      </c>
      <c r="B5" t="s">
        <v>1</v>
      </c>
      <c r="C5" t="s">
        <v>2</v>
      </c>
      <c r="D5" t="s">
        <v>3</v>
      </c>
      <c r="E5" t="s">
        <v>4</v>
      </c>
      <c r="F5" t="s">
        <v>5</v>
      </c>
      <c r="G5" t="s">
        <v>6</v>
      </c>
      <c r="H5" t="s">
        <v>7</v>
      </c>
      <c r="I5" t="s">
        <v>8</v>
      </c>
      <c r="J5" t="s">
        <v>9</v>
      </c>
    </row>
    <row r="6" spans="1:10" x14ac:dyDescent="0.3">
      <c r="A6" t="s">
        <v>10</v>
      </c>
      <c r="B6" s="1">
        <v>45777</v>
      </c>
      <c r="C6" t="s">
        <v>11</v>
      </c>
      <c r="D6" t="s">
        <v>12</v>
      </c>
      <c r="E6" t="s">
        <v>13</v>
      </c>
      <c r="F6" t="s">
        <v>14</v>
      </c>
      <c r="G6">
        <v>3</v>
      </c>
      <c r="H6">
        <v>44856</v>
      </c>
      <c r="I6">
        <v>134568</v>
      </c>
      <c r="J6" t="s">
        <v>15</v>
      </c>
    </row>
    <row r="7" spans="1:10" x14ac:dyDescent="0.3">
      <c r="A7" t="s">
        <v>16</v>
      </c>
      <c r="B7" s="1">
        <v>45752</v>
      </c>
      <c r="C7" t="s">
        <v>11</v>
      </c>
      <c r="D7" t="s">
        <v>17</v>
      </c>
      <c r="E7" t="s">
        <v>13</v>
      </c>
      <c r="F7" t="s">
        <v>18</v>
      </c>
      <c r="G7">
        <v>5</v>
      </c>
      <c r="H7">
        <v>12332</v>
      </c>
      <c r="I7">
        <v>61660</v>
      </c>
      <c r="J7" t="s">
        <v>19</v>
      </c>
    </row>
    <row r="8" spans="1:10" x14ac:dyDescent="0.3">
      <c r="A8" t="s">
        <v>20</v>
      </c>
      <c r="B8" s="1">
        <v>45772</v>
      </c>
      <c r="C8" t="s">
        <v>21</v>
      </c>
      <c r="D8" t="s">
        <v>12</v>
      </c>
      <c r="E8" t="s">
        <v>22</v>
      </c>
      <c r="F8" t="s">
        <v>14</v>
      </c>
      <c r="G8">
        <v>2</v>
      </c>
      <c r="H8">
        <v>42847</v>
      </c>
      <c r="I8">
        <v>85694</v>
      </c>
      <c r="J8" t="s">
        <v>19</v>
      </c>
    </row>
    <row r="9" spans="1:10" x14ac:dyDescent="0.3">
      <c r="A9" t="s">
        <v>23</v>
      </c>
      <c r="B9" s="1">
        <v>45788</v>
      </c>
      <c r="C9" t="s">
        <v>24</v>
      </c>
      <c r="D9" t="s">
        <v>25</v>
      </c>
      <c r="E9" t="s">
        <v>22</v>
      </c>
      <c r="F9" t="s">
        <v>14</v>
      </c>
      <c r="G9">
        <v>1</v>
      </c>
      <c r="H9">
        <v>35731</v>
      </c>
      <c r="I9">
        <v>35731</v>
      </c>
      <c r="J9" t="s">
        <v>15</v>
      </c>
    </row>
    <row r="10" spans="1:10" x14ac:dyDescent="0.3">
      <c r="A10" t="s">
        <v>26</v>
      </c>
      <c r="B10" s="1">
        <v>45830</v>
      </c>
      <c r="C10" t="s">
        <v>11</v>
      </c>
      <c r="D10" t="s">
        <v>25</v>
      </c>
      <c r="E10" t="s">
        <v>27</v>
      </c>
      <c r="F10" t="s">
        <v>14</v>
      </c>
      <c r="G10">
        <v>1</v>
      </c>
      <c r="H10">
        <v>43475</v>
      </c>
      <c r="I10">
        <v>43475</v>
      </c>
      <c r="J10" t="s">
        <v>28</v>
      </c>
    </row>
    <row r="11" spans="1:10" x14ac:dyDescent="0.3">
      <c r="A11" t="s">
        <v>29</v>
      </c>
      <c r="B11" s="1">
        <v>45669</v>
      </c>
      <c r="C11" t="s">
        <v>21</v>
      </c>
      <c r="D11" t="s">
        <v>17</v>
      </c>
      <c r="E11" t="s">
        <v>30</v>
      </c>
      <c r="F11" t="s">
        <v>18</v>
      </c>
      <c r="G11">
        <v>2</v>
      </c>
      <c r="H11">
        <v>2624</v>
      </c>
      <c r="I11">
        <v>5248</v>
      </c>
      <c r="J11" t="s">
        <v>31</v>
      </c>
    </row>
    <row r="12" spans="1:10" x14ac:dyDescent="0.3">
      <c r="A12" t="s">
        <v>32</v>
      </c>
      <c r="B12" s="1">
        <v>45828</v>
      </c>
      <c r="C12" t="s">
        <v>24</v>
      </c>
      <c r="D12" t="s">
        <v>25</v>
      </c>
      <c r="E12" t="s">
        <v>22</v>
      </c>
      <c r="F12" t="s">
        <v>14</v>
      </c>
      <c r="G12">
        <v>2</v>
      </c>
      <c r="H12">
        <v>17348</v>
      </c>
      <c r="I12">
        <v>34696</v>
      </c>
      <c r="J12" t="s">
        <v>31</v>
      </c>
    </row>
    <row r="13" spans="1:10" x14ac:dyDescent="0.3">
      <c r="A13" t="s">
        <v>33</v>
      </c>
      <c r="B13" s="1">
        <v>45682</v>
      </c>
      <c r="C13" t="s">
        <v>11</v>
      </c>
      <c r="D13" t="s">
        <v>25</v>
      </c>
      <c r="E13" t="s">
        <v>13</v>
      </c>
      <c r="F13" t="s">
        <v>18</v>
      </c>
      <c r="G13">
        <v>5</v>
      </c>
      <c r="H13">
        <v>6996</v>
      </c>
      <c r="I13">
        <v>34980</v>
      </c>
      <c r="J13" t="s">
        <v>31</v>
      </c>
    </row>
    <row r="14" spans="1:10" x14ac:dyDescent="0.3">
      <c r="A14" t="s">
        <v>34</v>
      </c>
      <c r="B14" s="1">
        <v>45669</v>
      </c>
      <c r="C14" t="s">
        <v>24</v>
      </c>
      <c r="D14" t="s">
        <v>25</v>
      </c>
      <c r="E14" t="s">
        <v>22</v>
      </c>
      <c r="F14" t="s">
        <v>18</v>
      </c>
      <c r="G14">
        <v>1</v>
      </c>
      <c r="H14">
        <v>18386</v>
      </c>
      <c r="I14">
        <v>18386</v>
      </c>
      <c r="J14" t="s">
        <v>28</v>
      </c>
    </row>
    <row r="15" spans="1:10" x14ac:dyDescent="0.3">
      <c r="A15" t="s">
        <v>35</v>
      </c>
      <c r="B15" s="1">
        <v>45787</v>
      </c>
      <c r="C15" t="s">
        <v>21</v>
      </c>
      <c r="D15" t="s">
        <v>36</v>
      </c>
      <c r="E15" t="s">
        <v>30</v>
      </c>
      <c r="F15" t="s">
        <v>18</v>
      </c>
      <c r="G15">
        <v>4</v>
      </c>
      <c r="H15">
        <v>32867</v>
      </c>
      <c r="I15">
        <v>131468</v>
      </c>
      <c r="J15" t="s">
        <v>19</v>
      </c>
    </row>
    <row r="16" spans="1:10" x14ac:dyDescent="0.3">
      <c r="A16" t="s">
        <v>37</v>
      </c>
      <c r="B16" s="1">
        <v>45676</v>
      </c>
      <c r="C16" t="s">
        <v>24</v>
      </c>
      <c r="D16" t="s">
        <v>25</v>
      </c>
      <c r="E16" t="s">
        <v>27</v>
      </c>
      <c r="F16" t="s">
        <v>14</v>
      </c>
      <c r="G16">
        <v>2</v>
      </c>
      <c r="H16">
        <v>41604</v>
      </c>
      <c r="I16">
        <v>83208</v>
      </c>
      <c r="J16" t="s">
        <v>19</v>
      </c>
    </row>
    <row r="17" spans="1:10" x14ac:dyDescent="0.3">
      <c r="A17" t="s">
        <v>38</v>
      </c>
      <c r="B17" s="1">
        <v>45715</v>
      </c>
      <c r="C17" t="s">
        <v>39</v>
      </c>
      <c r="D17" t="s">
        <v>25</v>
      </c>
      <c r="E17" t="s">
        <v>30</v>
      </c>
      <c r="F17" t="s">
        <v>18</v>
      </c>
      <c r="G17">
        <v>2</v>
      </c>
      <c r="H17">
        <v>28140</v>
      </c>
      <c r="I17">
        <v>56280</v>
      </c>
      <c r="J17" t="s">
        <v>28</v>
      </c>
    </row>
    <row r="18" spans="1:10" x14ac:dyDescent="0.3">
      <c r="A18" t="s">
        <v>40</v>
      </c>
      <c r="B18" s="1">
        <v>45793</v>
      </c>
      <c r="C18" t="s">
        <v>41</v>
      </c>
      <c r="D18" t="s">
        <v>36</v>
      </c>
      <c r="E18" t="s">
        <v>22</v>
      </c>
      <c r="F18" t="s">
        <v>14</v>
      </c>
      <c r="G18">
        <v>4</v>
      </c>
      <c r="H18">
        <v>15048</v>
      </c>
      <c r="I18">
        <v>60192</v>
      </c>
      <c r="J18" t="s">
        <v>28</v>
      </c>
    </row>
    <row r="19" spans="1:10" x14ac:dyDescent="0.3">
      <c r="A19" t="s">
        <v>42</v>
      </c>
      <c r="B19" s="1">
        <v>45762</v>
      </c>
      <c r="C19" t="s">
        <v>21</v>
      </c>
      <c r="D19" t="s">
        <v>25</v>
      </c>
      <c r="E19" t="s">
        <v>43</v>
      </c>
      <c r="F19" t="s">
        <v>18</v>
      </c>
      <c r="G19">
        <v>5</v>
      </c>
      <c r="H19">
        <v>40969</v>
      </c>
      <c r="I19">
        <v>204845</v>
      </c>
      <c r="J19" t="s">
        <v>31</v>
      </c>
    </row>
    <row r="20" spans="1:10" x14ac:dyDescent="0.3">
      <c r="A20" t="s">
        <v>44</v>
      </c>
      <c r="B20" s="1">
        <v>45695</v>
      </c>
      <c r="C20" t="s">
        <v>24</v>
      </c>
      <c r="D20" t="s">
        <v>17</v>
      </c>
      <c r="E20" t="s">
        <v>43</v>
      </c>
      <c r="F20" t="s">
        <v>14</v>
      </c>
      <c r="G20">
        <v>2</v>
      </c>
      <c r="H20">
        <v>5951</v>
      </c>
      <c r="I20">
        <v>11902</v>
      </c>
      <c r="J20" t="s">
        <v>15</v>
      </c>
    </row>
    <row r="21" spans="1:10" x14ac:dyDescent="0.3">
      <c r="A21" t="s">
        <v>45</v>
      </c>
      <c r="B21" s="1">
        <v>45755</v>
      </c>
      <c r="C21" t="s">
        <v>41</v>
      </c>
      <c r="D21" t="s">
        <v>36</v>
      </c>
      <c r="E21" t="s">
        <v>13</v>
      </c>
      <c r="F21" t="s">
        <v>14</v>
      </c>
      <c r="G21">
        <v>1</v>
      </c>
      <c r="H21">
        <v>46134</v>
      </c>
      <c r="I21">
        <v>46134</v>
      </c>
      <c r="J21" t="s">
        <v>28</v>
      </c>
    </row>
    <row r="22" spans="1:10" x14ac:dyDescent="0.3">
      <c r="A22" t="s">
        <v>46</v>
      </c>
      <c r="B22" s="1">
        <v>45802</v>
      </c>
      <c r="C22" t="s">
        <v>39</v>
      </c>
      <c r="D22" t="s">
        <v>17</v>
      </c>
      <c r="E22" t="s">
        <v>27</v>
      </c>
      <c r="F22" t="s">
        <v>18</v>
      </c>
      <c r="G22">
        <v>3</v>
      </c>
      <c r="H22">
        <v>10514</v>
      </c>
      <c r="I22">
        <v>31542</v>
      </c>
      <c r="J22" t="s">
        <v>19</v>
      </c>
    </row>
    <row r="23" spans="1:10" x14ac:dyDescent="0.3">
      <c r="A23" t="s">
        <v>47</v>
      </c>
      <c r="B23" s="1">
        <v>45772</v>
      </c>
      <c r="C23" t="s">
        <v>48</v>
      </c>
      <c r="D23" t="s">
        <v>36</v>
      </c>
      <c r="E23" t="s">
        <v>27</v>
      </c>
      <c r="F23" t="s">
        <v>18</v>
      </c>
      <c r="G23">
        <v>5</v>
      </c>
      <c r="H23">
        <v>1758</v>
      </c>
      <c r="I23">
        <v>8790</v>
      </c>
      <c r="J23" t="s">
        <v>31</v>
      </c>
    </row>
    <row r="24" spans="1:10" x14ac:dyDescent="0.3">
      <c r="A24" t="s">
        <v>49</v>
      </c>
      <c r="B24" s="1">
        <v>45699</v>
      </c>
      <c r="C24" t="s">
        <v>50</v>
      </c>
      <c r="D24" t="s">
        <v>17</v>
      </c>
      <c r="E24" t="s">
        <v>30</v>
      </c>
      <c r="F24" t="s">
        <v>14</v>
      </c>
      <c r="G24">
        <v>2</v>
      </c>
      <c r="H24">
        <v>23022</v>
      </c>
      <c r="I24">
        <v>46044</v>
      </c>
      <c r="J24" t="s">
        <v>15</v>
      </c>
    </row>
    <row r="25" spans="1:10" x14ac:dyDescent="0.3">
      <c r="A25" t="s">
        <v>51</v>
      </c>
      <c r="B25" s="1">
        <v>45760</v>
      </c>
      <c r="C25" t="s">
        <v>48</v>
      </c>
      <c r="D25" t="s">
        <v>25</v>
      </c>
      <c r="E25" t="s">
        <v>43</v>
      </c>
      <c r="F25" t="s">
        <v>18</v>
      </c>
      <c r="G25">
        <v>2</v>
      </c>
      <c r="H25">
        <v>47356</v>
      </c>
      <c r="I25">
        <v>94712</v>
      </c>
      <c r="J25" t="s">
        <v>31</v>
      </c>
    </row>
    <row r="26" spans="1:10" x14ac:dyDescent="0.3">
      <c r="A26" t="s">
        <v>52</v>
      </c>
      <c r="B26" s="1">
        <v>45696</v>
      </c>
      <c r="C26" t="s">
        <v>41</v>
      </c>
      <c r="D26" t="s">
        <v>36</v>
      </c>
      <c r="E26" t="s">
        <v>43</v>
      </c>
      <c r="F26" t="s">
        <v>14</v>
      </c>
      <c r="G26">
        <v>5</v>
      </c>
      <c r="H26">
        <v>36693</v>
      </c>
      <c r="I26">
        <v>183465</v>
      </c>
      <c r="J26" t="s">
        <v>15</v>
      </c>
    </row>
    <row r="27" spans="1:10" x14ac:dyDescent="0.3">
      <c r="A27" t="s">
        <v>53</v>
      </c>
      <c r="B27" s="1">
        <v>45801</v>
      </c>
      <c r="C27" t="s">
        <v>50</v>
      </c>
      <c r="D27" t="s">
        <v>36</v>
      </c>
      <c r="E27" t="s">
        <v>43</v>
      </c>
      <c r="F27" t="s">
        <v>18</v>
      </c>
      <c r="G27">
        <v>1</v>
      </c>
      <c r="H27">
        <v>15647</v>
      </c>
      <c r="I27">
        <v>15647</v>
      </c>
      <c r="J27" t="s">
        <v>28</v>
      </c>
    </row>
    <row r="28" spans="1:10" x14ac:dyDescent="0.3">
      <c r="A28" t="s">
        <v>54</v>
      </c>
      <c r="B28" s="1">
        <v>45813</v>
      </c>
      <c r="C28" t="s">
        <v>24</v>
      </c>
      <c r="D28" t="s">
        <v>17</v>
      </c>
      <c r="E28" t="s">
        <v>30</v>
      </c>
      <c r="F28" t="s">
        <v>14</v>
      </c>
      <c r="G28">
        <v>1</v>
      </c>
      <c r="H28">
        <v>15240</v>
      </c>
      <c r="I28">
        <v>15240</v>
      </c>
      <c r="J28" t="s">
        <v>28</v>
      </c>
    </row>
    <row r="29" spans="1:10" x14ac:dyDescent="0.3">
      <c r="A29" t="s">
        <v>55</v>
      </c>
      <c r="B29" s="1">
        <v>45803</v>
      </c>
      <c r="C29" t="s">
        <v>21</v>
      </c>
      <c r="D29" t="s">
        <v>17</v>
      </c>
      <c r="E29" t="s">
        <v>43</v>
      </c>
      <c r="F29" t="s">
        <v>18</v>
      </c>
      <c r="G29">
        <v>5</v>
      </c>
      <c r="H29">
        <v>7265</v>
      </c>
      <c r="I29">
        <v>36325</v>
      </c>
      <c r="J29" t="s">
        <v>19</v>
      </c>
    </row>
    <row r="30" spans="1:10" x14ac:dyDescent="0.3">
      <c r="A30" t="s">
        <v>56</v>
      </c>
      <c r="B30" s="1">
        <v>45680</v>
      </c>
      <c r="C30" t="s">
        <v>21</v>
      </c>
      <c r="D30" t="s">
        <v>36</v>
      </c>
      <c r="E30" t="s">
        <v>30</v>
      </c>
      <c r="F30" t="s">
        <v>14</v>
      </c>
      <c r="G30">
        <v>4</v>
      </c>
      <c r="H30">
        <v>17464</v>
      </c>
      <c r="I30">
        <v>69856</v>
      </c>
      <c r="J30" t="s">
        <v>28</v>
      </c>
    </row>
    <row r="31" spans="1:10" x14ac:dyDescent="0.3">
      <c r="A31" t="s">
        <v>57</v>
      </c>
      <c r="B31" s="1">
        <v>45699</v>
      </c>
      <c r="C31" t="s">
        <v>50</v>
      </c>
      <c r="D31" t="s">
        <v>36</v>
      </c>
      <c r="E31" t="s">
        <v>13</v>
      </c>
      <c r="F31" t="s">
        <v>18</v>
      </c>
      <c r="G31">
        <v>4</v>
      </c>
      <c r="H31">
        <v>19223</v>
      </c>
      <c r="I31">
        <v>76892</v>
      </c>
      <c r="J31" t="s">
        <v>31</v>
      </c>
    </row>
    <row r="32" spans="1:10" x14ac:dyDescent="0.3">
      <c r="A32" t="s">
        <v>58</v>
      </c>
      <c r="B32" s="1">
        <v>45791</v>
      </c>
      <c r="C32" t="s">
        <v>39</v>
      </c>
      <c r="D32" t="s">
        <v>25</v>
      </c>
      <c r="E32" t="s">
        <v>13</v>
      </c>
      <c r="F32" t="s">
        <v>18</v>
      </c>
      <c r="G32">
        <v>4</v>
      </c>
      <c r="H32">
        <v>49908</v>
      </c>
      <c r="I32">
        <v>199632</v>
      </c>
      <c r="J32" t="s">
        <v>28</v>
      </c>
    </row>
    <row r="33" spans="1:10" x14ac:dyDescent="0.3">
      <c r="A33" t="s">
        <v>59</v>
      </c>
      <c r="B33" s="1">
        <v>45822</v>
      </c>
      <c r="C33" t="s">
        <v>21</v>
      </c>
      <c r="D33" t="s">
        <v>17</v>
      </c>
      <c r="E33" t="s">
        <v>43</v>
      </c>
      <c r="F33" t="s">
        <v>18</v>
      </c>
      <c r="G33">
        <v>3</v>
      </c>
      <c r="H33">
        <v>6875</v>
      </c>
      <c r="I33">
        <v>20625</v>
      </c>
      <c r="J33" t="s">
        <v>31</v>
      </c>
    </row>
    <row r="34" spans="1:10" x14ac:dyDescent="0.3">
      <c r="A34" t="s">
        <v>60</v>
      </c>
      <c r="B34" s="1">
        <v>45807</v>
      </c>
      <c r="C34" t="s">
        <v>61</v>
      </c>
      <c r="D34" t="s">
        <v>17</v>
      </c>
      <c r="E34" t="s">
        <v>30</v>
      </c>
      <c r="F34" t="s">
        <v>18</v>
      </c>
      <c r="G34">
        <v>4</v>
      </c>
      <c r="H34">
        <v>47797</v>
      </c>
      <c r="I34">
        <v>191188</v>
      </c>
      <c r="J34" t="s">
        <v>28</v>
      </c>
    </row>
    <row r="35" spans="1:10" x14ac:dyDescent="0.3">
      <c r="A35" t="s">
        <v>62</v>
      </c>
      <c r="B35" s="1">
        <v>45746</v>
      </c>
      <c r="C35" t="s">
        <v>11</v>
      </c>
      <c r="D35" t="s">
        <v>17</v>
      </c>
      <c r="E35" t="s">
        <v>22</v>
      </c>
      <c r="F35" t="s">
        <v>18</v>
      </c>
      <c r="G35">
        <v>3</v>
      </c>
      <c r="H35">
        <v>39871</v>
      </c>
      <c r="I35">
        <v>119613</v>
      </c>
      <c r="J35" t="s">
        <v>19</v>
      </c>
    </row>
    <row r="36" spans="1:10" x14ac:dyDescent="0.3">
      <c r="A36" t="s">
        <v>63</v>
      </c>
      <c r="B36" s="1">
        <v>45660</v>
      </c>
      <c r="C36" t="s">
        <v>50</v>
      </c>
      <c r="D36" t="s">
        <v>12</v>
      </c>
      <c r="E36" t="s">
        <v>30</v>
      </c>
      <c r="F36" t="s">
        <v>18</v>
      </c>
      <c r="G36">
        <v>3</v>
      </c>
      <c r="H36">
        <v>24478</v>
      </c>
      <c r="I36">
        <v>73434</v>
      </c>
      <c r="J36" t="s">
        <v>19</v>
      </c>
    </row>
    <row r="37" spans="1:10" x14ac:dyDescent="0.3">
      <c r="A37" t="s">
        <v>64</v>
      </c>
      <c r="B37" s="1">
        <v>45751</v>
      </c>
      <c r="C37" t="s">
        <v>50</v>
      </c>
      <c r="D37" t="s">
        <v>25</v>
      </c>
      <c r="E37" t="s">
        <v>30</v>
      </c>
      <c r="F37" t="s">
        <v>18</v>
      </c>
      <c r="G37">
        <v>4</v>
      </c>
      <c r="H37">
        <v>5165</v>
      </c>
      <c r="I37">
        <v>20660</v>
      </c>
      <c r="J37" t="s">
        <v>28</v>
      </c>
    </row>
    <row r="38" spans="1:10" x14ac:dyDescent="0.3">
      <c r="A38" t="s">
        <v>65</v>
      </c>
      <c r="B38" s="1">
        <v>45669</v>
      </c>
      <c r="C38" t="s">
        <v>61</v>
      </c>
      <c r="D38" t="s">
        <v>25</v>
      </c>
      <c r="E38" t="s">
        <v>43</v>
      </c>
      <c r="F38" t="s">
        <v>14</v>
      </c>
      <c r="G38">
        <v>4</v>
      </c>
      <c r="H38">
        <v>35036</v>
      </c>
      <c r="I38">
        <v>140144</v>
      </c>
      <c r="J38" t="s">
        <v>19</v>
      </c>
    </row>
    <row r="39" spans="1:10" x14ac:dyDescent="0.3">
      <c r="A39" t="s">
        <v>66</v>
      </c>
      <c r="B39" s="1">
        <v>45739</v>
      </c>
      <c r="C39" t="s">
        <v>48</v>
      </c>
      <c r="D39" t="s">
        <v>17</v>
      </c>
      <c r="E39" t="s">
        <v>22</v>
      </c>
      <c r="F39" t="s">
        <v>14</v>
      </c>
      <c r="G39">
        <v>2</v>
      </c>
      <c r="H39">
        <v>47915</v>
      </c>
      <c r="I39">
        <v>95830</v>
      </c>
      <c r="J39" t="s">
        <v>28</v>
      </c>
    </row>
    <row r="40" spans="1:10" x14ac:dyDescent="0.3">
      <c r="A40" t="s">
        <v>67</v>
      </c>
      <c r="B40" s="1">
        <v>45733</v>
      </c>
      <c r="C40" t="s">
        <v>61</v>
      </c>
      <c r="D40" t="s">
        <v>36</v>
      </c>
      <c r="E40" t="s">
        <v>13</v>
      </c>
      <c r="F40" t="s">
        <v>18</v>
      </c>
      <c r="G40">
        <v>1</v>
      </c>
      <c r="H40">
        <v>17647</v>
      </c>
      <c r="I40">
        <v>17647</v>
      </c>
      <c r="J40" t="s">
        <v>31</v>
      </c>
    </row>
    <row r="41" spans="1:10" x14ac:dyDescent="0.3">
      <c r="A41" t="s">
        <v>68</v>
      </c>
      <c r="B41" s="1">
        <v>45743</v>
      </c>
      <c r="C41" t="s">
        <v>61</v>
      </c>
      <c r="D41" t="s">
        <v>17</v>
      </c>
      <c r="E41" t="s">
        <v>13</v>
      </c>
      <c r="F41" t="s">
        <v>14</v>
      </c>
      <c r="G41">
        <v>4</v>
      </c>
      <c r="H41">
        <v>7173</v>
      </c>
      <c r="I41">
        <v>28692</v>
      </c>
      <c r="J41" t="s">
        <v>15</v>
      </c>
    </row>
    <row r="42" spans="1:10" x14ac:dyDescent="0.3">
      <c r="A42" t="s">
        <v>69</v>
      </c>
      <c r="B42" s="1">
        <v>45838</v>
      </c>
      <c r="C42" t="s">
        <v>61</v>
      </c>
      <c r="D42" t="s">
        <v>25</v>
      </c>
      <c r="E42" t="s">
        <v>22</v>
      </c>
      <c r="F42" t="s">
        <v>18</v>
      </c>
      <c r="G42">
        <v>1</v>
      </c>
      <c r="H42">
        <v>29645</v>
      </c>
      <c r="I42">
        <v>29645</v>
      </c>
      <c r="J42" t="s">
        <v>19</v>
      </c>
    </row>
    <row r="43" spans="1:10" x14ac:dyDescent="0.3">
      <c r="A43" t="s">
        <v>70</v>
      </c>
      <c r="B43" s="1">
        <v>45794</v>
      </c>
      <c r="C43" t="s">
        <v>41</v>
      </c>
      <c r="D43" t="s">
        <v>17</v>
      </c>
      <c r="E43" t="s">
        <v>27</v>
      </c>
      <c r="F43" t="s">
        <v>18</v>
      </c>
      <c r="G43">
        <v>5</v>
      </c>
      <c r="H43">
        <v>25779</v>
      </c>
      <c r="I43">
        <v>128895</v>
      </c>
      <c r="J43" t="s">
        <v>15</v>
      </c>
    </row>
    <row r="44" spans="1:10" x14ac:dyDescent="0.3">
      <c r="A44" t="s">
        <v>71</v>
      </c>
      <c r="B44" s="1">
        <v>45660</v>
      </c>
      <c r="C44" t="s">
        <v>61</v>
      </c>
      <c r="D44" t="s">
        <v>12</v>
      </c>
      <c r="E44" t="s">
        <v>43</v>
      </c>
      <c r="F44" t="s">
        <v>14</v>
      </c>
      <c r="G44">
        <v>2</v>
      </c>
      <c r="H44">
        <v>48495</v>
      </c>
      <c r="I44">
        <v>96990</v>
      </c>
      <c r="J44" t="s">
        <v>28</v>
      </c>
    </row>
    <row r="45" spans="1:10" x14ac:dyDescent="0.3">
      <c r="A45" t="s">
        <v>72</v>
      </c>
      <c r="B45" s="1">
        <v>45783</v>
      </c>
      <c r="C45" t="s">
        <v>24</v>
      </c>
      <c r="D45" t="s">
        <v>17</v>
      </c>
      <c r="E45" t="s">
        <v>43</v>
      </c>
      <c r="F45" t="s">
        <v>14</v>
      </c>
      <c r="G45">
        <v>4</v>
      </c>
      <c r="H45">
        <v>26949</v>
      </c>
      <c r="I45">
        <v>107796</v>
      </c>
      <c r="J45" t="s">
        <v>28</v>
      </c>
    </row>
    <row r="46" spans="1:10" x14ac:dyDescent="0.3">
      <c r="A46" t="s">
        <v>73</v>
      </c>
      <c r="B46" s="1">
        <v>45703</v>
      </c>
      <c r="C46" t="s">
        <v>39</v>
      </c>
      <c r="D46" t="s">
        <v>17</v>
      </c>
      <c r="E46" t="s">
        <v>22</v>
      </c>
      <c r="F46" t="s">
        <v>18</v>
      </c>
      <c r="G46">
        <v>2</v>
      </c>
      <c r="H46">
        <v>40792</v>
      </c>
      <c r="I46">
        <v>81584</v>
      </c>
      <c r="J46" t="s">
        <v>28</v>
      </c>
    </row>
    <row r="47" spans="1:10" x14ac:dyDescent="0.3">
      <c r="A47" t="s">
        <v>74</v>
      </c>
      <c r="B47" s="1">
        <v>45668</v>
      </c>
      <c r="C47" t="s">
        <v>48</v>
      </c>
      <c r="D47" t="s">
        <v>36</v>
      </c>
      <c r="E47" t="s">
        <v>43</v>
      </c>
      <c r="F47" t="s">
        <v>14</v>
      </c>
      <c r="G47">
        <v>4</v>
      </c>
      <c r="H47">
        <v>46231</v>
      </c>
      <c r="I47">
        <v>184924</v>
      </c>
      <c r="J47" t="s">
        <v>15</v>
      </c>
    </row>
    <row r="48" spans="1:10" x14ac:dyDescent="0.3">
      <c r="A48" t="s">
        <v>75</v>
      </c>
      <c r="B48" s="1">
        <v>45737</v>
      </c>
      <c r="C48" t="s">
        <v>48</v>
      </c>
      <c r="D48" t="s">
        <v>12</v>
      </c>
      <c r="E48" t="s">
        <v>13</v>
      </c>
      <c r="F48" t="s">
        <v>14</v>
      </c>
      <c r="G48">
        <v>5</v>
      </c>
      <c r="H48">
        <v>25819</v>
      </c>
      <c r="I48">
        <v>129095</v>
      </c>
      <c r="J48" t="s">
        <v>15</v>
      </c>
    </row>
    <row r="49" spans="1:10" x14ac:dyDescent="0.3">
      <c r="A49" t="s">
        <v>76</v>
      </c>
      <c r="B49" s="1">
        <v>45835</v>
      </c>
      <c r="C49" t="s">
        <v>50</v>
      </c>
      <c r="D49" t="s">
        <v>12</v>
      </c>
      <c r="E49" t="s">
        <v>22</v>
      </c>
      <c r="F49" t="s">
        <v>18</v>
      </c>
      <c r="G49">
        <v>3</v>
      </c>
      <c r="H49">
        <v>15942</v>
      </c>
      <c r="I49">
        <v>47826</v>
      </c>
      <c r="J49" t="s">
        <v>19</v>
      </c>
    </row>
    <row r="50" spans="1:10" x14ac:dyDescent="0.3">
      <c r="A50" t="s">
        <v>77</v>
      </c>
      <c r="B50" s="1">
        <v>45733</v>
      </c>
      <c r="C50" t="s">
        <v>24</v>
      </c>
      <c r="D50" t="s">
        <v>25</v>
      </c>
      <c r="E50" t="s">
        <v>27</v>
      </c>
      <c r="F50" t="s">
        <v>14</v>
      </c>
      <c r="G50">
        <v>4</v>
      </c>
      <c r="H50">
        <v>21476</v>
      </c>
      <c r="I50">
        <v>85904</v>
      </c>
      <c r="J50" t="s">
        <v>15</v>
      </c>
    </row>
    <row r="51" spans="1:10" x14ac:dyDescent="0.3">
      <c r="A51" t="s">
        <v>78</v>
      </c>
      <c r="B51" s="1">
        <v>45831</v>
      </c>
      <c r="C51" t="s">
        <v>24</v>
      </c>
      <c r="D51" t="s">
        <v>17</v>
      </c>
      <c r="E51" t="s">
        <v>43</v>
      </c>
      <c r="F51" t="s">
        <v>18</v>
      </c>
      <c r="G51">
        <v>5</v>
      </c>
      <c r="H51">
        <v>43342</v>
      </c>
      <c r="I51">
        <v>216710</v>
      </c>
      <c r="J51" t="s">
        <v>15</v>
      </c>
    </row>
    <row r="52" spans="1:10" x14ac:dyDescent="0.3">
      <c r="A52" t="s">
        <v>79</v>
      </c>
      <c r="B52" s="1">
        <v>45725</v>
      </c>
      <c r="C52" t="s">
        <v>48</v>
      </c>
      <c r="D52" t="s">
        <v>12</v>
      </c>
      <c r="E52" t="s">
        <v>30</v>
      </c>
      <c r="F52" t="s">
        <v>18</v>
      </c>
      <c r="G52">
        <v>1</v>
      </c>
      <c r="H52">
        <v>44591</v>
      </c>
      <c r="I52">
        <v>44591</v>
      </c>
      <c r="J52" t="s">
        <v>19</v>
      </c>
    </row>
    <row r="53" spans="1:10" x14ac:dyDescent="0.3">
      <c r="A53" t="s">
        <v>80</v>
      </c>
      <c r="B53" s="1">
        <v>45743</v>
      </c>
      <c r="C53" t="s">
        <v>48</v>
      </c>
      <c r="D53" t="s">
        <v>25</v>
      </c>
      <c r="E53" t="s">
        <v>13</v>
      </c>
      <c r="F53" t="s">
        <v>14</v>
      </c>
      <c r="G53">
        <v>5</v>
      </c>
      <c r="H53">
        <v>22833</v>
      </c>
      <c r="I53">
        <v>114165</v>
      </c>
      <c r="J53" t="s">
        <v>19</v>
      </c>
    </row>
    <row r="54" spans="1:10" x14ac:dyDescent="0.3">
      <c r="A54" t="s">
        <v>81</v>
      </c>
      <c r="B54" s="1">
        <v>45741</v>
      </c>
      <c r="C54" t="s">
        <v>41</v>
      </c>
      <c r="D54" t="s">
        <v>12</v>
      </c>
      <c r="E54" t="s">
        <v>22</v>
      </c>
      <c r="F54" t="s">
        <v>18</v>
      </c>
      <c r="G54">
        <v>2</v>
      </c>
      <c r="H54">
        <v>33357</v>
      </c>
      <c r="I54">
        <v>66714</v>
      </c>
      <c r="J54" t="s">
        <v>15</v>
      </c>
    </row>
    <row r="55" spans="1:10" x14ac:dyDescent="0.3">
      <c r="A55" t="s">
        <v>82</v>
      </c>
      <c r="B55" s="1">
        <v>45706</v>
      </c>
      <c r="C55" t="s">
        <v>39</v>
      </c>
      <c r="D55" t="s">
        <v>36</v>
      </c>
      <c r="E55" t="s">
        <v>13</v>
      </c>
      <c r="F55" t="s">
        <v>18</v>
      </c>
      <c r="G55">
        <v>2</v>
      </c>
      <c r="H55">
        <v>20149</v>
      </c>
      <c r="I55">
        <v>40298</v>
      </c>
      <c r="J55" t="s">
        <v>19</v>
      </c>
    </row>
    <row r="56" spans="1:10" x14ac:dyDescent="0.3">
      <c r="A56" t="s">
        <v>83</v>
      </c>
      <c r="B56" s="1">
        <v>45734</v>
      </c>
      <c r="C56" t="s">
        <v>61</v>
      </c>
      <c r="D56" t="s">
        <v>17</v>
      </c>
      <c r="E56" t="s">
        <v>30</v>
      </c>
      <c r="F56" t="s">
        <v>18</v>
      </c>
      <c r="G56">
        <v>1</v>
      </c>
      <c r="H56">
        <v>35715</v>
      </c>
      <c r="I56">
        <v>35715</v>
      </c>
      <c r="J56" t="s">
        <v>31</v>
      </c>
    </row>
    <row r="57" spans="1:10" x14ac:dyDescent="0.3">
      <c r="A57" t="s">
        <v>84</v>
      </c>
      <c r="B57" s="1">
        <v>45706</v>
      </c>
      <c r="C57" t="s">
        <v>39</v>
      </c>
      <c r="D57" t="s">
        <v>25</v>
      </c>
      <c r="E57" t="s">
        <v>27</v>
      </c>
      <c r="F57" t="s">
        <v>18</v>
      </c>
      <c r="G57">
        <v>2</v>
      </c>
      <c r="H57">
        <v>5270</v>
      </c>
      <c r="I57">
        <v>10540</v>
      </c>
      <c r="J57" t="s">
        <v>19</v>
      </c>
    </row>
    <row r="58" spans="1:10" x14ac:dyDescent="0.3">
      <c r="A58" t="s">
        <v>85</v>
      </c>
      <c r="B58" s="1">
        <v>45683</v>
      </c>
      <c r="C58" t="s">
        <v>41</v>
      </c>
      <c r="D58" t="s">
        <v>12</v>
      </c>
      <c r="E58" t="s">
        <v>22</v>
      </c>
      <c r="F58" t="s">
        <v>14</v>
      </c>
      <c r="G58">
        <v>4</v>
      </c>
      <c r="H58">
        <v>42784</v>
      </c>
      <c r="I58">
        <v>171136</v>
      </c>
      <c r="J58" t="s">
        <v>28</v>
      </c>
    </row>
    <row r="59" spans="1:10" x14ac:dyDescent="0.3">
      <c r="A59" t="s">
        <v>86</v>
      </c>
      <c r="B59" s="1">
        <v>45812</v>
      </c>
      <c r="C59" t="s">
        <v>21</v>
      </c>
      <c r="D59" t="s">
        <v>36</v>
      </c>
      <c r="E59" t="s">
        <v>27</v>
      </c>
      <c r="F59" t="s">
        <v>18</v>
      </c>
      <c r="G59">
        <v>1</v>
      </c>
      <c r="H59">
        <v>37891</v>
      </c>
      <c r="I59">
        <v>37891</v>
      </c>
      <c r="J59" t="s">
        <v>19</v>
      </c>
    </row>
    <row r="60" spans="1:10" x14ac:dyDescent="0.3">
      <c r="A60" t="s">
        <v>87</v>
      </c>
      <c r="B60" s="1">
        <v>45691</v>
      </c>
      <c r="C60" t="s">
        <v>50</v>
      </c>
      <c r="D60" t="s">
        <v>12</v>
      </c>
      <c r="E60" t="s">
        <v>13</v>
      </c>
      <c r="F60" t="s">
        <v>18</v>
      </c>
      <c r="G60">
        <v>1</v>
      </c>
      <c r="H60">
        <v>6267</v>
      </c>
      <c r="I60">
        <v>6267</v>
      </c>
      <c r="J60" t="s">
        <v>28</v>
      </c>
    </row>
    <row r="61" spans="1:10" x14ac:dyDescent="0.3">
      <c r="A61" t="s">
        <v>88</v>
      </c>
      <c r="B61" s="1">
        <v>45717</v>
      </c>
      <c r="C61" t="s">
        <v>11</v>
      </c>
      <c r="D61" t="s">
        <v>17</v>
      </c>
      <c r="E61" t="s">
        <v>30</v>
      </c>
      <c r="F61" t="s">
        <v>14</v>
      </c>
      <c r="G61">
        <v>5</v>
      </c>
      <c r="H61">
        <v>48886</v>
      </c>
      <c r="I61">
        <v>244430</v>
      </c>
      <c r="J61" t="s">
        <v>15</v>
      </c>
    </row>
    <row r="62" spans="1:10" x14ac:dyDescent="0.3">
      <c r="A62" t="s">
        <v>89</v>
      </c>
      <c r="B62" s="1">
        <v>45786</v>
      </c>
      <c r="C62" t="s">
        <v>61</v>
      </c>
      <c r="D62" t="s">
        <v>12</v>
      </c>
      <c r="E62" t="s">
        <v>22</v>
      </c>
      <c r="F62" t="s">
        <v>14</v>
      </c>
      <c r="G62">
        <v>2</v>
      </c>
      <c r="H62">
        <v>24781</v>
      </c>
      <c r="I62">
        <v>49562</v>
      </c>
      <c r="J62" t="s">
        <v>15</v>
      </c>
    </row>
    <row r="63" spans="1:10" x14ac:dyDescent="0.3">
      <c r="A63" t="s">
        <v>90</v>
      </c>
      <c r="B63" s="1">
        <v>45755</v>
      </c>
      <c r="C63" t="s">
        <v>50</v>
      </c>
      <c r="D63" t="s">
        <v>36</v>
      </c>
      <c r="E63" t="s">
        <v>27</v>
      </c>
      <c r="F63" t="s">
        <v>14</v>
      </c>
      <c r="G63">
        <v>4</v>
      </c>
      <c r="H63">
        <v>2104</v>
      </c>
      <c r="I63">
        <v>8416</v>
      </c>
      <c r="J63" t="s">
        <v>28</v>
      </c>
    </row>
    <row r="64" spans="1:10" x14ac:dyDescent="0.3">
      <c r="A64" t="s">
        <v>91</v>
      </c>
      <c r="B64" s="1">
        <v>45826</v>
      </c>
      <c r="C64" t="s">
        <v>41</v>
      </c>
      <c r="D64" t="s">
        <v>17</v>
      </c>
      <c r="E64" t="s">
        <v>30</v>
      </c>
      <c r="F64" t="s">
        <v>14</v>
      </c>
      <c r="G64">
        <v>3</v>
      </c>
      <c r="H64">
        <v>13507</v>
      </c>
      <c r="I64">
        <v>40521</v>
      </c>
      <c r="J64" t="s">
        <v>15</v>
      </c>
    </row>
    <row r="65" spans="1:10" x14ac:dyDescent="0.3">
      <c r="A65" t="s">
        <v>92</v>
      </c>
      <c r="B65" s="1">
        <v>45758</v>
      </c>
      <c r="C65" t="s">
        <v>50</v>
      </c>
      <c r="D65" t="s">
        <v>25</v>
      </c>
      <c r="E65" t="s">
        <v>27</v>
      </c>
      <c r="F65" t="s">
        <v>14</v>
      </c>
      <c r="G65">
        <v>4</v>
      </c>
      <c r="H65">
        <v>38003</v>
      </c>
      <c r="I65">
        <v>152012</v>
      </c>
      <c r="J65" t="s">
        <v>31</v>
      </c>
    </row>
    <row r="66" spans="1:10" x14ac:dyDescent="0.3">
      <c r="A66" t="s">
        <v>93</v>
      </c>
      <c r="B66" s="1">
        <v>45742</v>
      </c>
      <c r="C66" t="s">
        <v>41</v>
      </c>
      <c r="D66" t="s">
        <v>17</v>
      </c>
      <c r="E66" t="s">
        <v>13</v>
      </c>
      <c r="F66" t="s">
        <v>18</v>
      </c>
      <c r="G66">
        <v>4</v>
      </c>
      <c r="H66">
        <v>3137</v>
      </c>
      <c r="I66">
        <v>12548</v>
      </c>
      <c r="J66" t="s">
        <v>31</v>
      </c>
    </row>
    <row r="67" spans="1:10" x14ac:dyDescent="0.3">
      <c r="A67" t="s">
        <v>94</v>
      </c>
      <c r="B67" s="1">
        <v>45780</v>
      </c>
      <c r="C67" t="s">
        <v>39</v>
      </c>
      <c r="D67" t="s">
        <v>36</v>
      </c>
      <c r="E67" t="s">
        <v>27</v>
      </c>
      <c r="F67" t="s">
        <v>18</v>
      </c>
      <c r="G67">
        <v>1</v>
      </c>
      <c r="H67">
        <v>43239</v>
      </c>
      <c r="I67">
        <v>43239</v>
      </c>
      <c r="J67" t="s">
        <v>15</v>
      </c>
    </row>
    <row r="68" spans="1:10" x14ac:dyDescent="0.3">
      <c r="A68" t="s">
        <v>95</v>
      </c>
      <c r="B68" s="1">
        <v>45681</v>
      </c>
      <c r="C68" t="s">
        <v>41</v>
      </c>
      <c r="D68" t="s">
        <v>17</v>
      </c>
      <c r="E68" t="s">
        <v>13</v>
      </c>
      <c r="F68" t="s">
        <v>18</v>
      </c>
      <c r="G68">
        <v>4</v>
      </c>
      <c r="H68">
        <v>42175</v>
      </c>
      <c r="I68">
        <v>168700</v>
      </c>
      <c r="J68" t="s">
        <v>28</v>
      </c>
    </row>
    <row r="69" spans="1:10" x14ac:dyDescent="0.3">
      <c r="A69" t="s">
        <v>96</v>
      </c>
      <c r="B69" s="1">
        <v>45806</v>
      </c>
      <c r="C69" t="s">
        <v>24</v>
      </c>
      <c r="D69" t="s">
        <v>25</v>
      </c>
      <c r="E69" t="s">
        <v>22</v>
      </c>
      <c r="F69" t="s">
        <v>18</v>
      </c>
      <c r="G69">
        <v>5</v>
      </c>
      <c r="H69">
        <v>2513</v>
      </c>
      <c r="I69">
        <v>12565</v>
      </c>
      <c r="J69" t="s">
        <v>28</v>
      </c>
    </row>
    <row r="70" spans="1:10" x14ac:dyDescent="0.3">
      <c r="A70" t="s">
        <v>97</v>
      </c>
      <c r="B70" s="1">
        <v>45784</v>
      </c>
      <c r="C70" t="s">
        <v>50</v>
      </c>
      <c r="D70" t="s">
        <v>36</v>
      </c>
      <c r="E70" t="s">
        <v>27</v>
      </c>
      <c r="F70" t="s">
        <v>18</v>
      </c>
      <c r="G70">
        <v>4</v>
      </c>
      <c r="H70">
        <v>34655</v>
      </c>
      <c r="I70">
        <v>138620</v>
      </c>
      <c r="J70" t="s">
        <v>15</v>
      </c>
    </row>
    <row r="71" spans="1:10" x14ac:dyDescent="0.3">
      <c r="A71" t="s">
        <v>98</v>
      </c>
      <c r="B71" s="1">
        <v>45688</v>
      </c>
      <c r="C71" t="s">
        <v>48</v>
      </c>
      <c r="D71" t="s">
        <v>12</v>
      </c>
      <c r="E71" t="s">
        <v>22</v>
      </c>
      <c r="F71" t="s">
        <v>14</v>
      </c>
      <c r="G71">
        <v>5</v>
      </c>
      <c r="H71">
        <v>46068</v>
      </c>
      <c r="I71">
        <v>230340</v>
      </c>
      <c r="J71" t="s">
        <v>28</v>
      </c>
    </row>
    <row r="72" spans="1:10" x14ac:dyDescent="0.3">
      <c r="A72" t="s">
        <v>99</v>
      </c>
      <c r="B72" s="1">
        <v>45725</v>
      </c>
      <c r="C72" t="s">
        <v>21</v>
      </c>
      <c r="D72" t="s">
        <v>25</v>
      </c>
      <c r="E72" t="s">
        <v>22</v>
      </c>
      <c r="F72" t="s">
        <v>14</v>
      </c>
      <c r="G72">
        <v>4</v>
      </c>
      <c r="H72">
        <v>3616</v>
      </c>
      <c r="I72">
        <v>14464</v>
      </c>
      <c r="J72" t="s">
        <v>31</v>
      </c>
    </row>
    <row r="73" spans="1:10" x14ac:dyDescent="0.3">
      <c r="A73" t="s">
        <v>100</v>
      </c>
      <c r="B73" s="1">
        <v>45830</v>
      </c>
      <c r="C73" t="s">
        <v>39</v>
      </c>
      <c r="D73" t="s">
        <v>12</v>
      </c>
      <c r="E73" t="s">
        <v>43</v>
      </c>
      <c r="F73" t="s">
        <v>18</v>
      </c>
      <c r="G73">
        <v>2</v>
      </c>
      <c r="H73">
        <v>42188</v>
      </c>
      <c r="I73">
        <v>84376</v>
      </c>
      <c r="J73" t="s">
        <v>19</v>
      </c>
    </row>
    <row r="74" spans="1:10" x14ac:dyDescent="0.3">
      <c r="A74" t="s">
        <v>101</v>
      </c>
      <c r="B74" s="1">
        <v>45819</v>
      </c>
      <c r="C74" t="s">
        <v>61</v>
      </c>
      <c r="D74" t="s">
        <v>17</v>
      </c>
      <c r="E74" t="s">
        <v>27</v>
      </c>
      <c r="F74" t="s">
        <v>18</v>
      </c>
      <c r="G74">
        <v>5</v>
      </c>
      <c r="H74">
        <v>11575</v>
      </c>
      <c r="I74">
        <v>57875</v>
      </c>
      <c r="J74" t="s">
        <v>31</v>
      </c>
    </row>
    <row r="75" spans="1:10" x14ac:dyDescent="0.3">
      <c r="A75" t="s">
        <v>102</v>
      </c>
      <c r="B75" s="1">
        <v>45662</v>
      </c>
      <c r="C75" t="s">
        <v>50</v>
      </c>
      <c r="D75" t="s">
        <v>17</v>
      </c>
      <c r="E75" t="s">
        <v>27</v>
      </c>
      <c r="F75" t="s">
        <v>14</v>
      </c>
      <c r="G75">
        <v>1</v>
      </c>
      <c r="H75">
        <v>31641</v>
      </c>
      <c r="I75">
        <v>31641</v>
      </c>
      <c r="J75" t="s">
        <v>28</v>
      </c>
    </row>
    <row r="76" spans="1:10" x14ac:dyDescent="0.3">
      <c r="A76" t="s">
        <v>103</v>
      </c>
      <c r="B76" s="1">
        <v>45714</v>
      </c>
      <c r="C76" t="s">
        <v>39</v>
      </c>
      <c r="D76" t="s">
        <v>36</v>
      </c>
      <c r="E76" t="s">
        <v>22</v>
      </c>
      <c r="F76" t="s">
        <v>14</v>
      </c>
      <c r="G76">
        <v>3</v>
      </c>
      <c r="H76">
        <v>27399</v>
      </c>
      <c r="I76">
        <v>82197</v>
      </c>
      <c r="J76" t="s">
        <v>28</v>
      </c>
    </row>
    <row r="77" spans="1:10" x14ac:dyDescent="0.3">
      <c r="A77" t="s">
        <v>104</v>
      </c>
      <c r="B77" s="1">
        <v>45780</v>
      </c>
      <c r="C77" t="s">
        <v>11</v>
      </c>
      <c r="D77" t="s">
        <v>25</v>
      </c>
      <c r="E77" t="s">
        <v>43</v>
      </c>
      <c r="F77" t="s">
        <v>18</v>
      </c>
      <c r="G77">
        <v>5</v>
      </c>
      <c r="H77">
        <v>42855</v>
      </c>
      <c r="I77">
        <v>214275</v>
      </c>
      <c r="J77" t="s">
        <v>19</v>
      </c>
    </row>
    <row r="78" spans="1:10" x14ac:dyDescent="0.3">
      <c r="A78" t="s">
        <v>105</v>
      </c>
      <c r="B78" s="1">
        <v>45780</v>
      </c>
      <c r="C78" t="s">
        <v>39</v>
      </c>
      <c r="D78" t="s">
        <v>12</v>
      </c>
      <c r="E78" t="s">
        <v>13</v>
      </c>
      <c r="F78" t="s">
        <v>14</v>
      </c>
      <c r="G78">
        <v>4</v>
      </c>
      <c r="H78">
        <v>35749</v>
      </c>
      <c r="I78">
        <v>142996</v>
      </c>
      <c r="J78" t="s">
        <v>15</v>
      </c>
    </row>
    <row r="79" spans="1:10" x14ac:dyDescent="0.3">
      <c r="A79" t="s">
        <v>106</v>
      </c>
      <c r="B79" s="1">
        <v>45706</v>
      </c>
      <c r="C79" t="s">
        <v>61</v>
      </c>
      <c r="D79" t="s">
        <v>17</v>
      </c>
      <c r="E79" t="s">
        <v>27</v>
      </c>
      <c r="F79" t="s">
        <v>14</v>
      </c>
      <c r="G79">
        <v>4</v>
      </c>
      <c r="H79">
        <v>34512</v>
      </c>
      <c r="I79">
        <v>138048</v>
      </c>
      <c r="J79" t="s">
        <v>15</v>
      </c>
    </row>
    <row r="80" spans="1:10" x14ac:dyDescent="0.3">
      <c r="A80" t="s">
        <v>107</v>
      </c>
      <c r="B80" s="1">
        <v>45833</v>
      </c>
      <c r="C80" t="s">
        <v>24</v>
      </c>
      <c r="D80" t="s">
        <v>12</v>
      </c>
      <c r="E80" t="s">
        <v>43</v>
      </c>
      <c r="F80" t="s">
        <v>18</v>
      </c>
      <c r="G80">
        <v>3</v>
      </c>
      <c r="H80">
        <v>24604</v>
      </c>
      <c r="I80">
        <v>73812</v>
      </c>
      <c r="J80" t="s">
        <v>15</v>
      </c>
    </row>
    <row r="81" spans="1:10" x14ac:dyDescent="0.3">
      <c r="A81" t="s">
        <v>108</v>
      </c>
      <c r="B81" s="1">
        <v>45680</v>
      </c>
      <c r="C81" t="s">
        <v>21</v>
      </c>
      <c r="D81" t="s">
        <v>17</v>
      </c>
      <c r="E81" t="s">
        <v>43</v>
      </c>
      <c r="F81" t="s">
        <v>18</v>
      </c>
      <c r="G81">
        <v>2</v>
      </c>
      <c r="H81">
        <v>40362</v>
      </c>
      <c r="I81">
        <v>80724</v>
      </c>
      <c r="J81" t="s">
        <v>31</v>
      </c>
    </row>
    <row r="82" spans="1:10" x14ac:dyDescent="0.3">
      <c r="A82" t="s">
        <v>109</v>
      </c>
      <c r="B82" s="1">
        <v>45732</v>
      </c>
      <c r="C82" t="s">
        <v>39</v>
      </c>
      <c r="D82" t="s">
        <v>25</v>
      </c>
      <c r="E82" t="s">
        <v>27</v>
      </c>
      <c r="F82" t="s">
        <v>14</v>
      </c>
      <c r="G82">
        <v>5</v>
      </c>
      <c r="H82">
        <v>21973</v>
      </c>
      <c r="I82">
        <v>109865</v>
      </c>
      <c r="J82" t="s">
        <v>19</v>
      </c>
    </row>
    <row r="83" spans="1:10" x14ac:dyDescent="0.3">
      <c r="A83" t="s">
        <v>110</v>
      </c>
      <c r="B83" s="1">
        <v>45677</v>
      </c>
      <c r="C83" t="s">
        <v>21</v>
      </c>
      <c r="D83" t="s">
        <v>36</v>
      </c>
      <c r="E83" t="s">
        <v>27</v>
      </c>
      <c r="F83" t="s">
        <v>18</v>
      </c>
      <c r="G83">
        <v>2</v>
      </c>
      <c r="H83">
        <v>16059</v>
      </c>
      <c r="I83">
        <v>32118</v>
      </c>
      <c r="J83" t="s">
        <v>31</v>
      </c>
    </row>
    <row r="84" spans="1:10" x14ac:dyDescent="0.3">
      <c r="A84" t="s">
        <v>111</v>
      </c>
      <c r="B84" s="1">
        <v>45769</v>
      </c>
      <c r="C84" t="s">
        <v>50</v>
      </c>
      <c r="D84" t="s">
        <v>25</v>
      </c>
      <c r="E84" t="s">
        <v>27</v>
      </c>
      <c r="F84" t="s">
        <v>14</v>
      </c>
      <c r="G84">
        <v>5</v>
      </c>
      <c r="H84">
        <v>27291</v>
      </c>
      <c r="I84">
        <v>136455</v>
      </c>
      <c r="J84" t="s">
        <v>31</v>
      </c>
    </row>
    <row r="85" spans="1:10" x14ac:dyDescent="0.3">
      <c r="A85" t="s">
        <v>112</v>
      </c>
      <c r="B85" s="1">
        <v>45720</v>
      </c>
      <c r="C85" t="s">
        <v>39</v>
      </c>
      <c r="D85" t="s">
        <v>17</v>
      </c>
      <c r="E85" t="s">
        <v>30</v>
      </c>
      <c r="F85" t="s">
        <v>14</v>
      </c>
      <c r="G85">
        <v>3</v>
      </c>
      <c r="H85">
        <v>22832</v>
      </c>
      <c r="I85">
        <v>68496</v>
      </c>
      <c r="J85" t="s">
        <v>15</v>
      </c>
    </row>
    <row r="86" spans="1:10" x14ac:dyDescent="0.3">
      <c r="A86" t="s">
        <v>113</v>
      </c>
      <c r="B86" s="1">
        <v>45661</v>
      </c>
      <c r="C86" t="s">
        <v>48</v>
      </c>
      <c r="D86" t="s">
        <v>36</v>
      </c>
      <c r="E86" t="s">
        <v>27</v>
      </c>
      <c r="F86" t="s">
        <v>18</v>
      </c>
      <c r="G86">
        <v>1</v>
      </c>
      <c r="H86">
        <v>37789</v>
      </c>
      <c r="I86">
        <v>37789</v>
      </c>
      <c r="J86" t="s">
        <v>28</v>
      </c>
    </row>
    <row r="87" spans="1:10" x14ac:dyDescent="0.3">
      <c r="A87" t="s">
        <v>114</v>
      </c>
      <c r="B87" s="1">
        <v>45791</v>
      </c>
      <c r="C87" t="s">
        <v>11</v>
      </c>
      <c r="D87" t="s">
        <v>25</v>
      </c>
      <c r="E87" t="s">
        <v>30</v>
      </c>
      <c r="F87" t="s">
        <v>18</v>
      </c>
      <c r="G87">
        <v>2</v>
      </c>
      <c r="H87">
        <v>25469</v>
      </c>
      <c r="I87">
        <v>50938</v>
      </c>
      <c r="J87" t="s">
        <v>31</v>
      </c>
    </row>
    <row r="88" spans="1:10" x14ac:dyDescent="0.3">
      <c r="A88" t="s">
        <v>115</v>
      </c>
      <c r="B88" s="1">
        <v>45673</v>
      </c>
      <c r="C88" t="s">
        <v>39</v>
      </c>
      <c r="D88" t="s">
        <v>25</v>
      </c>
      <c r="E88" t="s">
        <v>22</v>
      </c>
      <c r="F88" t="s">
        <v>18</v>
      </c>
      <c r="G88">
        <v>2</v>
      </c>
      <c r="H88">
        <v>45094</v>
      </c>
      <c r="I88">
        <v>90188</v>
      </c>
      <c r="J88" t="s">
        <v>19</v>
      </c>
    </row>
    <row r="89" spans="1:10" x14ac:dyDescent="0.3">
      <c r="A89" t="s">
        <v>116</v>
      </c>
      <c r="B89" s="1">
        <v>45781</v>
      </c>
      <c r="C89" t="s">
        <v>61</v>
      </c>
      <c r="D89" t="s">
        <v>12</v>
      </c>
      <c r="E89" t="s">
        <v>22</v>
      </c>
      <c r="F89" t="s">
        <v>14</v>
      </c>
      <c r="G89">
        <v>3</v>
      </c>
      <c r="H89">
        <v>41455</v>
      </c>
      <c r="I89">
        <v>124365</v>
      </c>
      <c r="J89" t="s">
        <v>28</v>
      </c>
    </row>
    <row r="90" spans="1:10" x14ac:dyDescent="0.3">
      <c r="A90" t="s">
        <v>117</v>
      </c>
      <c r="B90" s="1">
        <v>45785</v>
      </c>
      <c r="C90" t="s">
        <v>48</v>
      </c>
      <c r="D90" t="s">
        <v>36</v>
      </c>
      <c r="E90" t="s">
        <v>30</v>
      </c>
      <c r="F90" t="s">
        <v>18</v>
      </c>
      <c r="G90">
        <v>3</v>
      </c>
      <c r="H90">
        <v>44335</v>
      </c>
      <c r="I90">
        <v>133005</v>
      </c>
      <c r="J90" t="s">
        <v>31</v>
      </c>
    </row>
    <row r="91" spans="1:10" x14ac:dyDescent="0.3">
      <c r="A91" t="s">
        <v>118</v>
      </c>
      <c r="B91" s="1">
        <v>45793</v>
      </c>
      <c r="C91" t="s">
        <v>48</v>
      </c>
      <c r="D91" t="s">
        <v>17</v>
      </c>
      <c r="E91" t="s">
        <v>27</v>
      </c>
      <c r="F91" t="s">
        <v>14</v>
      </c>
      <c r="G91">
        <v>2</v>
      </c>
      <c r="H91">
        <v>21825</v>
      </c>
      <c r="I91">
        <v>43650</v>
      </c>
      <c r="J91" t="s">
        <v>15</v>
      </c>
    </row>
    <row r="92" spans="1:10" x14ac:dyDescent="0.3">
      <c r="A92" t="s">
        <v>119</v>
      </c>
      <c r="B92" s="1">
        <v>45823</v>
      </c>
      <c r="C92" t="s">
        <v>48</v>
      </c>
      <c r="D92" t="s">
        <v>17</v>
      </c>
      <c r="E92" t="s">
        <v>27</v>
      </c>
      <c r="F92" t="s">
        <v>18</v>
      </c>
      <c r="G92">
        <v>4</v>
      </c>
      <c r="H92">
        <v>11191</v>
      </c>
      <c r="I92">
        <v>44764</v>
      </c>
      <c r="J92" t="s">
        <v>15</v>
      </c>
    </row>
    <row r="93" spans="1:10" x14ac:dyDescent="0.3">
      <c r="A93" t="s">
        <v>120</v>
      </c>
      <c r="B93" s="1">
        <v>45771</v>
      </c>
      <c r="C93" t="s">
        <v>41</v>
      </c>
      <c r="D93" t="s">
        <v>17</v>
      </c>
      <c r="E93" t="s">
        <v>43</v>
      </c>
      <c r="F93" t="s">
        <v>14</v>
      </c>
      <c r="G93">
        <v>1</v>
      </c>
      <c r="H93">
        <v>39955</v>
      </c>
      <c r="I93">
        <v>39955</v>
      </c>
      <c r="J93" t="s">
        <v>28</v>
      </c>
    </row>
    <row r="94" spans="1:10" x14ac:dyDescent="0.3">
      <c r="A94" t="s">
        <v>121</v>
      </c>
      <c r="B94" s="1">
        <v>45775</v>
      </c>
      <c r="C94" t="s">
        <v>39</v>
      </c>
      <c r="D94" t="s">
        <v>25</v>
      </c>
      <c r="E94" t="s">
        <v>30</v>
      </c>
      <c r="F94" t="s">
        <v>14</v>
      </c>
      <c r="G94">
        <v>2</v>
      </c>
      <c r="H94">
        <v>24275</v>
      </c>
      <c r="I94">
        <v>48550</v>
      </c>
      <c r="J94" t="s">
        <v>15</v>
      </c>
    </row>
    <row r="95" spans="1:10" x14ac:dyDescent="0.3">
      <c r="A95" t="s">
        <v>122</v>
      </c>
      <c r="B95" s="1">
        <v>45755</v>
      </c>
      <c r="C95" t="s">
        <v>11</v>
      </c>
      <c r="D95" t="s">
        <v>36</v>
      </c>
      <c r="E95" t="s">
        <v>22</v>
      </c>
      <c r="F95" t="s">
        <v>14</v>
      </c>
      <c r="G95">
        <v>5</v>
      </c>
      <c r="H95">
        <v>10477</v>
      </c>
      <c r="I95">
        <v>52385</v>
      </c>
      <c r="J95" t="s">
        <v>19</v>
      </c>
    </row>
    <row r="96" spans="1:10" x14ac:dyDescent="0.3">
      <c r="A96" t="s">
        <v>123</v>
      </c>
      <c r="B96" s="1">
        <v>45704</v>
      </c>
      <c r="C96" t="s">
        <v>50</v>
      </c>
      <c r="D96" t="s">
        <v>25</v>
      </c>
      <c r="E96" t="s">
        <v>22</v>
      </c>
      <c r="F96" t="s">
        <v>18</v>
      </c>
      <c r="G96">
        <v>5</v>
      </c>
      <c r="H96">
        <v>26751</v>
      </c>
      <c r="I96">
        <v>133755</v>
      </c>
      <c r="J96" t="s">
        <v>19</v>
      </c>
    </row>
    <row r="97" spans="1:10" x14ac:dyDescent="0.3">
      <c r="A97" t="s">
        <v>124</v>
      </c>
      <c r="B97" s="1">
        <v>45823</v>
      </c>
      <c r="C97" t="s">
        <v>41</v>
      </c>
      <c r="D97" t="s">
        <v>25</v>
      </c>
      <c r="E97" t="s">
        <v>30</v>
      </c>
      <c r="F97" t="s">
        <v>14</v>
      </c>
      <c r="G97">
        <v>2</v>
      </c>
      <c r="H97">
        <v>42883</v>
      </c>
      <c r="I97">
        <v>85766</v>
      </c>
      <c r="J97" t="s">
        <v>19</v>
      </c>
    </row>
    <row r="98" spans="1:10" x14ac:dyDescent="0.3">
      <c r="A98" t="s">
        <v>125</v>
      </c>
      <c r="B98" s="1">
        <v>45809</v>
      </c>
      <c r="C98" t="s">
        <v>11</v>
      </c>
      <c r="D98" t="s">
        <v>17</v>
      </c>
      <c r="E98" t="s">
        <v>43</v>
      </c>
      <c r="F98" t="s">
        <v>14</v>
      </c>
      <c r="G98">
        <v>2</v>
      </c>
      <c r="H98">
        <v>32561</v>
      </c>
      <c r="I98">
        <v>65122</v>
      </c>
      <c r="J98" t="s">
        <v>19</v>
      </c>
    </row>
    <row r="99" spans="1:10" x14ac:dyDescent="0.3">
      <c r="A99" t="s">
        <v>126</v>
      </c>
      <c r="B99" s="1">
        <v>45791</v>
      </c>
      <c r="C99" t="s">
        <v>50</v>
      </c>
      <c r="D99" t="s">
        <v>12</v>
      </c>
      <c r="E99" t="s">
        <v>43</v>
      </c>
      <c r="F99" t="s">
        <v>14</v>
      </c>
      <c r="G99">
        <v>1</v>
      </c>
      <c r="H99">
        <v>9183</v>
      </c>
      <c r="I99">
        <v>9183</v>
      </c>
      <c r="J99" t="s">
        <v>19</v>
      </c>
    </row>
    <row r="100" spans="1:10" x14ac:dyDescent="0.3">
      <c r="A100" t="s">
        <v>127</v>
      </c>
      <c r="B100" s="1">
        <v>45723</v>
      </c>
      <c r="C100" t="s">
        <v>50</v>
      </c>
      <c r="D100" t="s">
        <v>36</v>
      </c>
      <c r="E100" t="s">
        <v>27</v>
      </c>
      <c r="F100" t="s">
        <v>14</v>
      </c>
      <c r="G100">
        <v>4</v>
      </c>
      <c r="H100">
        <v>18493</v>
      </c>
      <c r="I100">
        <v>73972</v>
      </c>
      <c r="J100" t="s">
        <v>15</v>
      </c>
    </row>
    <row r="101" spans="1:10" x14ac:dyDescent="0.3">
      <c r="A101" t="s">
        <v>128</v>
      </c>
      <c r="B101" s="1">
        <v>45750</v>
      </c>
      <c r="C101" t="s">
        <v>61</v>
      </c>
      <c r="D101" t="s">
        <v>36</v>
      </c>
      <c r="E101" t="s">
        <v>22</v>
      </c>
      <c r="F101" t="s">
        <v>14</v>
      </c>
      <c r="G101">
        <v>4</v>
      </c>
      <c r="H101">
        <v>36217</v>
      </c>
      <c r="I101">
        <v>144868</v>
      </c>
      <c r="J101" t="s">
        <v>31</v>
      </c>
    </row>
    <row r="102" spans="1:10" x14ac:dyDescent="0.3">
      <c r="A102" t="s">
        <v>129</v>
      </c>
      <c r="B102" s="1">
        <v>45801</v>
      </c>
      <c r="C102" t="s">
        <v>48</v>
      </c>
      <c r="D102" t="s">
        <v>25</v>
      </c>
      <c r="E102" t="s">
        <v>27</v>
      </c>
      <c r="F102" t="s">
        <v>14</v>
      </c>
      <c r="G102">
        <v>2</v>
      </c>
      <c r="H102">
        <v>15027</v>
      </c>
      <c r="I102">
        <v>30054</v>
      </c>
      <c r="J102" t="s">
        <v>31</v>
      </c>
    </row>
    <row r="103" spans="1:10" x14ac:dyDescent="0.3">
      <c r="A103" t="s">
        <v>130</v>
      </c>
      <c r="B103" s="1">
        <v>45687</v>
      </c>
      <c r="C103" t="s">
        <v>24</v>
      </c>
      <c r="D103" t="s">
        <v>17</v>
      </c>
      <c r="E103" t="s">
        <v>27</v>
      </c>
      <c r="F103" t="s">
        <v>18</v>
      </c>
      <c r="G103">
        <v>4</v>
      </c>
      <c r="H103">
        <v>1597</v>
      </c>
      <c r="I103">
        <v>6388</v>
      </c>
      <c r="J103" t="s">
        <v>28</v>
      </c>
    </row>
    <row r="104" spans="1:10" x14ac:dyDescent="0.3">
      <c r="A104" t="s">
        <v>131</v>
      </c>
      <c r="B104" s="1">
        <v>45659</v>
      </c>
      <c r="C104" t="s">
        <v>41</v>
      </c>
      <c r="D104" t="s">
        <v>17</v>
      </c>
      <c r="E104" t="s">
        <v>13</v>
      </c>
      <c r="F104" t="s">
        <v>18</v>
      </c>
      <c r="G104">
        <v>2</v>
      </c>
      <c r="H104">
        <v>18864</v>
      </c>
      <c r="I104">
        <v>37728</v>
      </c>
      <c r="J104" t="s">
        <v>15</v>
      </c>
    </row>
    <row r="105" spans="1:10" x14ac:dyDescent="0.3">
      <c r="A105" t="s">
        <v>132</v>
      </c>
      <c r="B105" s="1">
        <v>45780</v>
      </c>
      <c r="C105" t="s">
        <v>48</v>
      </c>
      <c r="D105" t="s">
        <v>17</v>
      </c>
      <c r="E105" t="s">
        <v>22</v>
      </c>
      <c r="F105" t="s">
        <v>18</v>
      </c>
      <c r="G105">
        <v>5</v>
      </c>
      <c r="H105">
        <v>28670</v>
      </c>
      <c r="I105">
        <v>143350</v>
      </c>
      <c r="J105" t="s">
        <v>19</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Sales_Data</vt:lpstr>
      <vt:lpstr>pivot table</vt:lpstr>
      <vt:lpstr>Sales Dashboard</vt:lpstr>
      <vt:lpstr>backup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vinisha nayak</cp:lastModifiedBy>
  <dcterms:created xsi:type="dcterms:W3CDTF">2026-01-06T08:28:00Z</dcterms:created>
  <dcterms:modified xsi:type="dcterms:W3CDTF">2026-01-10T09:14:36Z</dcterms:modified>
</cp:coreProperties>
</file>